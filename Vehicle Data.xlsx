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us\Downloads\"/>
    </mc:Choice>
  </mc:AlternateContent>
  <xr:revisionPtr revIDLastSave="0" documentId="13_ncr:1_{AD724393-CF7B-4A9F-899B-7CC55A8E963C}" xr6:coauthVersionLast="36" xr6:coauthVersionMax="36" xr10:uidLastSave="{00000000-0000-0000-0000-000000000000}"/>
  <bookViews>
    <workbookView xWindow="0" yWindow="0" windowWidth="20490" windowHeight="7695" xr2:uid="{00000000-000D-0000-FFFF-FFFF00000000}"/>
  </bookViews>
  <sheets>
    <sheet name="Vehicle Data" sheetId="1" r:id="rId1"/>
    <sheet name="Fuels Totals" sheetId="5" r:id="rId2"/>
  </sheets>
  <definedNames>
    <definedName name="_xlnm._FilterDatabase" localSheetId="0" hidden="1">'Vehicle Data'!$A$1:$S$52</definedName>
  </definedNames>
  <calcPr calcId="191029"/>
</workbook>
</file>

<file path=xl/calcChain.xml><?xml version="1.0" encoding="utf-8"?>
<calcChain xmlns="http://schemas.openxmlformats.org/spreadsheetml/2006/main">
  <c r="C9" i="5" l="1"/>
  <c r="C4" i="5"/>
  <c r="C7" i="5"/>
  <c r="C3" i="5"/>
  <c r="C10" i="5"/>
  <c r="C12" i="5"/>
  <c r="C11" i="5"/>
  <c r="C13" i="5"/>
  <c r="C2" i="5"/>
  <c r="C5" i="5"/>
  <c r="C8" i="5"/>
  <c r="C6" i="5"/>
  <c r="S38" i="1"/>
  <c r="Q20" i="1"/>
  <c r="P34" i="1"/>
  <c r="O14" i="1"/>
  <c r="O51" i="1"/>
  <c r="N39" i="1"/>
  <c r="S39" i="1" s="1"/>
  <c r="N14" i="1"/>
  <c r="R14" i="1" s="1"/>
  <c r="N46" i="1"/>
  <c r="Q46" i="1" s="1"/>
  <c r="N3" i="1"/>
  <c r="R3" i="1" s="1"/>
  <c r="N10" i="1"/>
  <c r="S10" i="1" s="1"/>
  <c r="N17" i="1"/>
  <c r="R17" i="1" s="1"/>
  <c r="N22" i="1"/>
  <c r="Q22" i="1" s="1"/>
  <c r="N2" i="1"/>
  <c r="R2" i="1" s="1"/>
  <c r="N20" i="1"/>
  <c r="S20" i="1" s="1"/>
  <c r="N28" i="1"/>
  <c r="R28" i="1" s="1"/>
  <c r="N6" i="1"/>
  <c r="Q6" i="1" s="1"/>
  <c r="N30" i="1"/>
  <c r="R30" i="1" s="1"/>
  <c r="N18" i="1"/>
  <c r="S18" i="1" s="1"/>
  <c r="N38" i="1"/>
  <c r="R38" i="1" s="1"/>
  <c r="N41" i="1"/>
  <c r="Q41" i="1" s="1"/>
  <c r="N37" i="1"/>
  <c r="Q37" i="1" s="1"/>
  <c r="N44" i="1"/>
  <c r="S44" i="1" s="1"/>
  <c r="N50" i="1"/>
  <c r="R50" i="1" s="1"/>
  <c r="N19" i="1"/>
  <c r="Q19" i="1" s="1"/>
  <c r="N9" i="1"/>
  <c r="R9" i="1" s="1"/>
  <c r="N8" i="1"/>
  <c r="S8" i="1" s="1"/>
  <c r="N34" i="1"/>
  <c r="R34" i="1" s="1"/>
  <c r="N25" i="1"/>
  <c r="Q25" i="1" s="1"/>
  <c r="N52" i="1"/>
  <c r="Q52" i="1" s="1"/>
  <c r="N33" i="1"/>
  <c r="S33" i="1" s="1"/>
  <c r="N32" i="1"/>
  <c r="R32" i="1" s="1"/>
  <c r="N43" i="1"/>
  <c r="Q43" i="1" s="1"/>
  <c r="N11" i="1"/>
  <c r="R11" i="1" s="1"/>
  <c r="N21" i="1"/>
  <c r="S21" i="1" s="1"/>
  <c r="N12" i="1"/>
  <c r="R12" i="1" s="1"/>
  <c r="N27" i="1"/>
  <c r="Q27" i="1" s="1"/>
  <c r="N13" i="1"/>
  <c r="Q13" i="1" s="1"/>
  <c r="N26" i="1"/>
  <c r="S26" i="1" s="1"/>
  <c r="N51" i="1"/>
  <c r="R51" i="1" s="1"/>
  <c r="N35" i="1"/>
  <c r="Q35" i="1" s="1"/>
  <c r="N36" i="1"/>
  <c r="R36" i="1" s="1"/>
  <c r="N5" i="1"/>
  <c r="S5" i="1" s="1"/>
  <c r="N24" i="1"/>
  <c r="R24" i="1" s="1"/>
  <c r="N23" i="1"/>
  <c r="Q23" i="1" s="1"/>
  <c r="N42" i="1"/>
  <c r="Q42" i="1" s="1"/>
  <c r="N48" i="1"/>
  <c r="S48" i="1" s="1"/>
  <c r="N40" i="1"/>
  <c r="R40" i="1" s="1"/>
  <c r="N31" i="1"/>
  <c r="Q31" i="1" s="1"/>
  <c r="N15" i="1"/>
  <c r="R15" i="1" s="1"/>
  <c r="N7" i="1"/>
  <c r="S7" i="1" s="1"/>
  <c r="N16" i="1"/>
  <c r="R16" i="1" s="1"/>
  <c r="N4" i="1"/>
  <c r="Q4" i="1" s="1"/>
  <c r="N45" i="1"/>
  <c r="Q45" i="1" s="1"/>
  <c r="N29" i="1"/>
  <c r="S29" i="1" s="1"/>
  <c r="N49" i="1"/>
  <c r="R49" i="1" s="1"/>
  <c r="N47" i="1"/>
  <c r="R47" i="1" s="1"/>
  <c r="O50" i="1" l="1"/>
  <c r="P17" i="1"/>
  <c r="S16" i="1"/>
  <c r="Q48" i="1"/>
  <c r="S12" i="1"/>
  <c r="O49" i="1"/>
  <c r="P24" i="1"/>
  <c r="Q33" i="1"/>
  <c r="O16" i="1"/>
  <c r="O12" i="1"/>
  <c r="O38" i="1"/>
  <c r="P49" i="1"/>
  <c r="P51" i="1"/>
  <c r="P50" i="1"/>
  <c r="P14" i="1"/>
  <c r="Q5" i="1"/>
  <c r="Q8" i="1"/>
  <c r="Q10" i="1"/>
  <c r="S40" i="1"/>
  <c r="S32" i="1"/>
  <c r="S28" i="1"/>
  <c r="O40" i="1"/>
  <c r="O32" i="1"/>
  <c r="O28" i="1"/>
  <c r="P16" i="1"/>
  <c r="P12" i="1"/>
  <c r="P38" i="1"/>
  <c r="Q29" i="1"/>
  <c r="Q26" i="1"/>
  <c r="Q44" i="1"/>
  <c r="Q39" i="1"/>
  <c r="S24" i="1"/>
  <c r="S34" i="1"/>
  <c r="S17" i="1"/>
  <c r="O24" i="1"/>
  <c r="O34" i="1"/>
  <c r="O17" i="1"/>
  <c r="P40" i="1"/>
  <c r="P32" i="1"/>
  <c r="P28" i="1"/>
  <c r="Q7" i="1"/>
  <c r="Q21" i="1"/>
  <c r="Q18" i="1"/>
  <c r="S49" i="1"/>
  <c r="S51" i="1"/>
  <c r="S50" i="1"/>
  <c r="S14" i="1"/>
  <c r="Q15" i="1"/>
  <c r="Q36" i="1"/>
  <c r="Q11" i="1"/>
  <c r="Q9" i="1"/>
  <c r="Q30" i="1"/>
  <c r="Q2" i="1"/>
  <c r="Q3" i="1"/>
  <c r="R4" i="1"/>
  <c r="R23" i="1"/>
  <c r="R27" i="1"/>
  <c r="R25" i="1"/>
  <c r="R41" i="1"/>
  <c r="R22" i="1"/>
  <c r="R46" i="1"/>
  <c r="O45" i="1"/>
  <c r="O15" i="1"/>
  <c r="O42" i="1"/>
  <c r="O36" i="1"/>
  <c r="O13" i="1"/>
  <c r="O11" i="1"/>
  <c r="O52" i="1"/>
  <c r="O9" i="1"/>
  <c r="O37" i="1"/>
  <c r="O30" i="1"/>
  <c r="O2" i="1"/>
  <c r="O3" i="1"/>
  <c r="P47" i="1"/>
  <c r="P45" i="1"/>
  <c r="P15" i="1"/>
  <c r="P42" i="1"/>
  <c r="P36" i="1"/>
  <c r="P13" i="1"/>
  <c r="P11" i="1"/>
  <c r="P52" i="1"/>
  <c r="P9" i="1"/>
  <c r="P37" i="1"/>
  <c r="P30" i="1"/>
  <c r="P2" i="1"/>
  <c r="P3" i="1"/>
  <c r="Q49" i="1"/>
  <c r="Q16" i="1"/>
  <c r="Q40" i="1"/>
  <c r="Q24" i="1"/>
  <c r="Q51" i="1"/>
  <c r="Q12" i="1"/>
  <c r="Q32" i="1"/>
  <c r="Q34" i="1"/>
  <c r="Q50" i="1"/>
  <c r="Q38" i="1"/>
  <c r="Q28" i="1"/>
  <c r="Q17" i="1"/>
  <c r="Q14" i="1"/>
  <c r="R29" i="1"/>
  <c r="R7" i="1"/>
  <c r="R48" i="1"/>
  <c r="R5" i="1"/>
  <c r="R26" i="1"/>
  <c r="R21" i="1"/>
  <c r="R33" i="1"/>
  <c r="R8" i="1"/>
  <c r="R44" i="1"/>
  <c r="R18" i="1"/>
  <c r="R20" i="1"/>
  <c r="R10" i="1"/>
  <c r="R39" i="1"/>
  <c r="S45" i="1"/>
  <c r="S15" i="1"/>
  <c r="S42" i="1"/>
  <c r="S36" i="1"/>
  <c r="S13" i="1"/>
  <c r="S11" i="1"/>
  <c r="S52" i="1"/>
  <c r="S9" i="1"/>
  <c r="S37" i="1"/>
  <c r="S30" i="1"/>
  <c r="S2" i="1"/>
  <c r="S3" i="1"/>
  <c r="O47" i="1"/>
  <c r="O4" i="1"/>
  <c r="O31" i="1"/>
  <c r="O23" i="1"/>
  <c r="O35" i="1"/>
  <c r="O27" i="1"/>
  <c r="O43" i="1"/>
  <c r="O25" i="1"/>
  <c r="O19" i="1"/>
  <c r="O41" i="1"/>
  <c r="O6" i="1"/>
  <c r="O22" i="1"/>
  <c r="O46" i="1"/>
  <c r="Q47" i="1"/>
  <c r="P4" i="1"/>
  <c r="P31" i="1"/>
  <c r="P23" i="1"/>
  <c r="P35" i="1"/>
  <c r="P27" i="1"/>
  <c r="P43" i="1"/>
  <c r="P25" i="1"/>
  <c r="P19" i="1"/>
  <c r="P41" i="1"/>
  <c r="P6" i="1"/>
  <c r="P22" i="1"/>
  <c r="P46" i="1"/>
  <c r="R45" i="1"/>
  <c r="R42" i="1"/>
  <c r="R13" i="1"/>
  <c r="R52" i="1"/>
  <c r="R37" i="1"/>
  <c r="S47" i="1"/>
  <c r="S4" i="1"/>
  <c r="S31" i="1"/>
  <c r="S23" i="1"/>
  <c r="S35" i="1"/>
  <c r="S27" i="1"/>
  <c r="S43" i="1"/>
  <c r="S25" i="1"/>
  <c r="S19" i="1"/>
  <c r="S41" i="1"/>
  <c r="S6" i="1"/>
  <c r="S22" i="1"/>
  <c r="S46" i="1"/>
  <c r="R31" i="1"/>
  <c r="R35" i="1"/>
  <c r="R43" i="1"/>
  <c r="R19" i="1"/>
  <c r="R6" i="1"/>
  <c r="O29" i="1"/>
  <c r="O7" i="1"/>
  <c r="O48" i="1"/>
  <c r="O5" i="1"/>
  <c r="O26" i="1"/>
  <c r="O21" i="1"/>
  <c r="O33" i="1"/>
  <c r="O8" i="1"/>
  <c r="O44" i="1"/>
  <c r="O18" i="1"/>
  <c r="O20" i="1"/>
  <c r="O10" i="1"/>
  <c r="O39" i="1"/>
  <c r="P29" i="1"/>
  <c r="P7" i="1"/>
  <c r="P48" i="1"/>
  <c r="P5" i="1"/>
  <c r="P26" i="1"/>
  <c r="P21" i="1"/>
  <c r="P33" i="1"/>
  <c r="P8" i="1"/>
  <c r="P44" i="1"/>
  <c r="P18" i="1"/>
  <c r="P20" i="1"/>
  <c r="P10" i="1"/>
  <c r="P39" i="1"/>
</calcChain>
</file>

<file path=xl/sharedStrings.xml><?xml version="1.0" encoding="utf-8"?>
<sst xmlns="http://schemas.openxmlformats.org/spreadsheetml/2006/main" count="85" uniqueCount="73">
  <si>
    <t>State</t>
  </si>
  <si>
    <t>Electric (EV)</t>
  </si>
  <si>
    <t>Plug-In Hybrid Electric (PHEV)</t>
  </si>
  <si>
    <t>Hybrid Electric (HEV)</t>
  </si>
  <si>
    <t>Biodiesel</t>
  </si>
  <si>
    <t>Ethanol/Flex (E85)</t>
  </si>
  <si>
    <t>Compressed Natural Gas (CNG)</t>
  </si>
  <si>
    <t>Propane</t>
  </si>
  <si>
    <t>Hydrogen</t>
  </si>
  <si>
    <t>Methanol</t>
  </si>
  <si>
    <t>Gasoline</t>
  </si>
  <si>
    <t>Diesel</t>
  </si>
  <si>
    <t>Unknown Fuel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</si>
  <si>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</si>
  <si>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</si>
  <si>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</si>
  <si>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</si>
  <si>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</si>
  <si>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</si>
  <si>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</si>
  <si>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</si>
  <si>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</si>
  <si>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</si>
  <si>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</si>
  <si>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</si>
  <si>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</si>
  <si>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</si>
  <si>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</si>
  <si>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</si>
  <si>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</si>
  <si>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</si>
  <si>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</si>
  <si>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</si>
  <si>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</si>
  <si>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</si>
  <si>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</si>
  <si>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</si>
  <si>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</si>
  <si>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</si>
  <si>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</si>
  <si>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</si>
  <si>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</si>
  <si>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</si>
  <si>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</si>
  <si>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</si>
  <si>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</si>
  <si>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</si>
  <si>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</si>
  <si>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</si>
  <si>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</si>
  <si>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</si>
  <si>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</si>
  <si>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</si>
  <si>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</si>
  <si>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</si>
  <si>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</si>
  <si>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</si>
  <si>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</si>
  <si>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</si>
  <si>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</si>
  <si>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</si>
  <si>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</si>
  <si>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</si>
  <si>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</si>
  <si>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EV%</t>
  </si>
  <si>
    <t>PHEV%</t>
  </si>
  <si>
    <t>HEV%</t>
  </si>
  <si>
    <t>Gasoline %</t>
  </si>
  <si>
    <t>Total Vehicles Registered</t>
  </si>
  <si>
    <t>Totals</t>
  </si>
  <si>
    <t>Total EVS%</t>
  </si>
  <si>
    <t>% of Total</t>
  </si>
  <si>
    <t>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</si>
</sst>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3" fontId="0" fillId="0" borderId="0" xfId="0" applyNumberFormat="1"/>
    <xf numFmtId="164" fontId="0" fillId="0" borderId="0" xfId="1" applyNumberFormat="1" applyFont="1"/>
    <xf numFmtId="0" fontId="18" fillId="0" borderId="0" xfId="0" applyFont="1"/>
    <xf numFmtId="164" fontId="18" fillId="0" borderId="0" xfId="1" applyNumberFormat="1" applyFont="1"/>
    <xf numFmtId="0" fontId="19" fillId="0" borderId="0" xfId="0" applyFont="1"/>
    <xf numFmtId="164" fontId="19" fillId="0" borderId="0" xfId="1" applyNumberFormat="1" applyFont="1"/>
    <xf numFmtId="165" fontId="0" fillId="0" borderId="0" xfId="43" applyNumberFormat="1" applyFont="1"/>
    <xf numFmtId="10" fontId="0" fillId="0" borderId="0" xfId="43" applyNumberFormat="1" applyFont="1"/>
    <xf numFmtId="1" fontId="0" fillId="0" borderId="0" xfId="0" applyNumberFormat="1"/>
    <xf numFmtId="0" fontId="20" fillId="0" borderId="0" xfId="0" applyFont="1"/>
    <xf numFmtId="1" fontId="20" fillId="0" borderId="0" xfId="0" applyNumberFormat="1" applyFont="1"/>
  </cellXfs>
  <cellStyles count="44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43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3"/>
  <sheetViews>
    <sheetView tabSelected="1" zoomScale="55" zoomScaleNormal="55" workbookViewId="0">
      <selection activeCell="C7" sqref="C7"/>
    </sheetView>
  </sheetViews>
  <sheetFormatPr defaultRowHeight="15" x14ac:dyDescent="0.25"/>
  <cols>
    <col min="1" max="1" width="18.7109375" bestFit="1" customWidth="1"/>
    <col min="2" max="2" width="14.85546875" bestFit="1" customWidth="1"/>
    <col min="3" max="3" width="32.85546875" bestFit="1" customWidth="1"/>
    <col min="4" max="4" width="23.85546875" bestFit="1" customWidth="1"/>
    <col min="5" max="5" width="12" bestFit="1" customWidth="1"/>
    <col min="6" max="6" width="21.28515625" bestFit="1" customWidth="1"/>
    <col min="7" max="7" width="30" customWidth="1"/>
    <col min="8" max="8" width="11.5703125" bestFit="1" customWidth="1"/>
    <col min="9" max="10" width="12.85546875" bestFit="1" customWidth="1"/>
    <col min="11" max="11" width="16" style="2" bestFit="1" customWidth="1"/>
    <col min="12" max="12" width="11" bestFit="1" customWidth="1"/>
    <col min="13" max="13" width="20.7109375" bestFit="1" customWidth="1"/>
    <col min="14" max="14" width="25.85546875" bestFit="1" customWidth="1"/>
    <col min="15" max="15" width="11.140625" bestFit="1" customWidth="1"/>
    <col min="16" max="16" width="18" bestFit="1" customWidth="1"/>
    <col min="18" max="18" width="16.7109375" bestFit="1" customWidth="1"/>
    <col min="19" max="19" width="15.7109375" bestFit="1" customWidth="1"/>
  </cols>
  <sheetData>
    <row r="1" spans="1:19" s="5" customFormat="1" ht="15.75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5" t="s">
        <v>12</v>
      </c>
      <c r="N1" s="5" t="s">
        <v>68</v>
      </c>
      <c r="O1" s="5" t="s">
        <v>64</v>
      </c>
      <c r="P1" s="5" t="s">
        <v>65</v>
      </c>
      <c r="Q1" s="5" t="s">
        <v>66</v>
      </c>
      <c r="R1" s="5" t="s">
        <v>67</v>
      </c>
      <c r="S1" s="5" t="s">
        <v>70</v>
      </c>
    </row>
    <row r="2" spans="1:19" x14ac:dyDescent="0.25">
      <c r="A2" t="s">
        <v>21</v>
      </c>
      <c r="B2" s="1">
        <v>8100</v>
      </c>
      <c r="C2" s="1">
        <v>3700</v>
      </c>
      <c r="D2" s="1">
        <v>18100</v>
      </c>
      <c r="E2">
        <v>400</v>
      </c>
      <c r="F2" s="1">
        <v>16800</v>
      </c>
      <c r="G2">
        <v>100</v>
      </c>
      <c r="H2">
        <v>0</v>
      </c>
      <c r="I2">
        <v>0</v>
      </c>
      <c r="J2">
        <v>0</v>
      </c>
      <c r="K2" s="2">
        <v>262500</v>
      </c>
      <c r="L2" s="1">
        <v>1800</v>
      </c>
      <c r="M2">
        <v>600</v>
      </c>
      <c r="N2" s="1">
        <f>SUM(B2:M2)</f>
        <v>312100</v>
      </c>
      <c r="O2" s="8">
        <f>B2/N2</f>
        <v>2.5953220121755848E-2</v>
      </c>
      <c r="P2" s="8">
        <f>C2/N2</f>
        <v>1.1855174623518103E-2</v>
      </c>
      <c r="Q2" s="8">
        <f>D2/N2</f>
        <v>5.7994232617750718E-2</v>
      </c>
      <c r="R2" s="7">
        <f>K2/N2</f>
        <v>0.84107657801986546</v>
      </c>
      <c r="S2" s="7">
        <f>SUM(B2:D2)/N2</f>
        <v>9.5802627363024667E-2</v>
      </c>
    </row>
    <row r="3" spans="1:19" x14ac:dyDescent="0.25">
      <c r="A3" t="s">
        <v>17</v>
      </c>
      <c r="B3" s="1">
        <v>1256600</v>
      </c>
      <c r="C3" s="1">
        <v>410700</v>
      </c>
      <c r="D3" s="1">
        <v>1703200</v>
      </c>
      <c r="E3" s="1">
        <v>201600</v>
      </c>
      <c r="F3" s="1">
        <v>1314600</v>
      </c>
      <c r="G3" s="1">
        <v>10100</v>
      </c>
      <c r="H3" s="1">
        <v>1500</v>
      </c>
      <c r="I3" s="1">
        <v>16900</v>
      </c>
      <c r="J3">
        <v>0</v>
      </c>
      <c r="K3" s="2">
        <v>31191900</v>
      </c>
      <c r="L3" s="1">
        <v>735300</v>
      </c>
      <c r="M3" s="1">
        <v>7900</v>
      </c>
      <c r="N3" s="1">
        <f>SUM(B3:M3)</f>
        <v>36850300</v>
      </c>
      <c r="O3" s="8">
        <f>B3/N3</f>
        <v>3.410012944263683E-2</v>
      </c>
      <c r="P3" s="8">
        <f>C3/N3</f>
        <v>1.1145092441581208E-2</v>
      </c>
      <c r="Q3" s="8">
        <f>D3/N3</f>
        <v>4.6219433763090123E-2</v>
      </c>
      <c r="R3" s="7">
        <f>K3/N3</f>
        <v>0.84644901126992178</v>
      </c>
      <c r="S3" s="7">
        <f>SUM(B3:D3)/N3</f>
        <v>9.1464655647308157E-2</v>
      </c>
    </row>
    <row r="4" spans="1:19" x14ac:dyDescent="0.25">
      <c r="A4" t="s">
        <v>60</v>
      </c>
      <c r="B4" s="1">
        <v>152100</v>
      </c>
      <c r="C4" s="1">
        <v>41200</v>
      </c>
      <c r="D4" s="1">
        <v>307200</v>
      </c>
      <c r="E4" s="1">
        <v>73800</v>
      </c>
      <c r="F4" s="1">
        <v>337700</v>
      </c>
      <c r="G4">
        <v>100</v>
      </c>
      <c r="H4">
        <v>100</v>
      </c>
      <c r="I4">
        <v>0</v>
      </c>
      <c r="J4">
        <v>0</v>
      </c>
      <c r="K4" s="2">
        <v>5583000</v>
      </c>
      <c r="L4" s="1">
        <v>274200</v>
      </c>
      <c r="M4" s="1">
        <v>46700</v>
      </c>
      <c r="N4" s="1">
        <f>SUM(B4:M4)</f>
        <v>6816100</v>
      </c>
      <c r="O4" s="8">
        <f>B4/N4</f>
        <v>2.2314813456375347E-2</v>
      </c>
      <c r="P4" s="8">
        <f>C4/N4</f>
        <v>6.0445122577426971E-3</v>
      </c>
      <c r="Q4" s="8">
        <f>D4/N4</f>
        <v>4.5069761300450407E-2</v>
      </c>
      <c r="R4" s="7">
        <f>K4/N4</f>
        <v>0.81909009550916212</v>
      </c>
      <c r="S4" s="7">
        <f>SUM(B4:D4)/N4</f>
        <v>7.3429087014568448E-2</v>
      </c>
    </row>
    <row r="5" spans="1:19" x14ac:dyDescent="0.25">
      <c r="A5" t="s">
        <v>50</v>
      </c>
      <c r="B5" s="1">
        <v>64400</v>
      </c>
      <c r="C5" s="1">
        <v>28800</v>
      </c>
      <c r="D5" s="1">
        <v>156900</v>
      </c>
      <c r="E5" s="1">
        <v>55500</v>
      </c>
      <c r="F5" s="1">
        <v>184600</v>
      </c>
      <c r="G5">
        <v>100</v>
      </c>
      <c r="H5">
        <v>100</v>
      </c>
      <c r="I5">
        <v>0</v>
      </c>
      <c r="J5">
        <v>0</v>
      </c>
      <c r="K5" s="2">
        <v>3074300</v>
      </c>
      <c r="L5" s="1">
        <v>217000</v>
      </c>
      <c r="M5" s="1">
        <v>51000</v>
      </c>
      <c r="N5" s="1">
        <f>SUM(B5:M5)</f>
        <v>3832700</v>
      </c>
      <c r="O5" s="8">
        <f>B5/N5</f>
        <v>1.6802776110835704E-2</v>
      </c>
      <c r="P5" s="8">
        <f>C5/N5</f>
        <v>7.5142849688209353E-3</v>
      </c>
      <c r="Q5" s="8">
        <f>D5/N5</f>
        <v>4.0937198319722388E-2</v>
      </c>
      <c r="R5" s="7">
        <f>K5/N5</f>
        <v>0.80212382915438207</v>
      </c>
      <c r="S5" s="7">
        <f>SUM(B5:D5)/N5</f>
        <v>6.5254259399379025E-2</v>
      </c>
    </row>
    <row r="6" spans="1:19" x14ac:dyDescent="0.25">
      <c r="A6" t="s">
        <v>24</v>
      </c>
      <c r="B6" s="1">
        <v>25600</v>
      </c>
      <c r="C6" s="1">
        <v>7300</v>
      </c>
      <c r="D6" s="1">
        <v>36400</v>
      </c>
      <c r="E6" s="1">
        <v>3400</v>
      </c>
      <c r="F6" s="1">
        <v>37300</v>
      </c>
      <c r="G6">
        <v>0</v>
      </c>
      <c r="H6">
        <v>0</v>
      </c>
      <c r="I6">
        <v>0</v>
      </c>
      <c r="J6">
        <v>0</v>
      </c>
      <c r="K6" s="2">
        <v>951000</v>
      </c>
      <c r="L6" s="1">
        <v>15400</v>
      </c>
      <c r="M6" s="1">
        <v>3700</v>
      </c>
      <c r="N6" s="1">
        <f>SUM(B6:M6)</f>
        <v>1080100</v>
      </c>
      <c r="O6" s="8">
        <f>B6/N6</f>
        <v>2.3701509119525972E-2</v>
      </c>
      <c r="P6" s="8">
        <f>C6/N6</f>
        <v>6.7586334598648276E-3</v>
      </c>
      <c r="Q6" s="8">
        <f>D6/N6</f>
        <v>3.3700583279325985E-2</v>
      </c>
      <c r="R6" s="7">
        <f>K6/N6</f>
        <v>0.88047403018239057</v>
      </c>
      <c r="S6" s="7">
        <f>SUM(B6:D6)/N6</f>
        <v>6.416072585871678E-2</v>
      </c>
    </row>
    <row r="7" spans="1:19" x14ac:dyDescent="0.25">
      <c r="A7" t="s">
        <v>58</v>
      </c>
      <c r="B7" s="1">
        <v>7800</v>
      </c>
      <c r="C7" s="1">
        <v>5700</v>
      </c>
      <c r="D7" s="1">
        <v>20300</v>
      </c>
      <c r="E7" s="1">
        <v>7000</v>
      </c>
      <c r="F7" s="1">
        <v>36600</v>
      </c>
      <c r="G7">
        <v>0</v>
      </c>
      <c r="H7">
        <v>0</v>
      </c>
      <c r="I7">
        <v>0</v>
      </c>
      <c r="J7">
        <v>0</v>
      </c>
      <c r="K7" s="2">
        <v>496000</v>
      </c>
      <c r="L7" s="1">
        <v>14700</v>
      </c>
      <c r="M7" s="1">
        <v>5000</v>
      </c>
      <c r="N7" s="1">
        <f>SUM(B7:M7)</f>
        <v>593100</v>
      </c>
      <c r="O7" s="8">
        <f>B7/N7</f>
        <v>1.3151239251390997E-2</v>
      </c>
      <c r="P7" s="8">
        <f>C7/N7</f>
        <v>9.6105209914011131E-3</v>
      </c>
      <c r="Q7" s="8">
        <f>D7/N7</f>
        <v>3.4226943179902207E-2</v>
      </c>
      <c r="R7" s="7">
        <f>K7/N7</f>
        <v>0.83628393188332495</v>
      </c>
      <c r="S7" s="7">
        <f>SUM(B7:D7)/N7</f>
        <v>5.6988703422694319E-2</v>
      </c>
    </row>
    <row r="8" spans="1:19" x14ac:dyDescent="0.25">
      <c r="A8" t="s">
        <v>34</v>
      </c>
      <c r="B8" s="1">
        <v>73800</v>
      </c>
      <c r="C8" s="1">
        <v>43800</v>
      </c>
      <c r="D8" s="1">
        <v>187300</v>
      </c>
      <c r="E8" s="1">
        <v>21300</v>
      </c>
      <c r="F8" s="1">
        <v>285000</v>
      </c>
      <c r="G8">
        <v>200</v>
      </c>
      <c r="H8">
        <v>0</v>
      </c>
      <c r="I8">
        <v>0</v>
      </c>
      <c r="J8">
        <v>0</v>
      </c>
      <c r="K8" s="2">
        <v>4791300</v>
      </c>
      <c r="L8" s="1">
        <v>58400</v>
      </c>
      <c r="M8" s="1">
        <v>30000</v>
      </c>
      <c r="N8" s="1">
        <f>SUM(B8:M8)</f>
        <v>5491100</v>
      </c>
      <c r="O8" s="8">
        <f>B8/N8</f>
        <v>1.3439930068656554E-2</v>
      </c>
      <c r="P8" s="8">
        <f>C8/N8</f>
        <v>7.9765438618855967E-3</v>
      </c>
      <c r="Q8" s="8">
        <f>D8/N8</f>
        <v>3.4109741217606675E-2</v>
      </c>
      <c r="R8" s="7">
        <f>K8/N8</f>
        <v>0.87255741108338947</v>
      </c>
      <c r="S8" s="7">
        <f>SUM(B8:D8)/N8</f>
        <v>5.5526215148148823E-2</v>
      </c>
    </row>
    <row r="9" spans="1:19" x14ac:dyDescent="0.25">
      <c r="A9" t="s">
        <v>33</v>
      </c>
      <c r="B9" s="1">
        <v>72100</v>
      </c>
      <c r="C9" s="1">
        <v>31300</v>
      </c>
      <c r="D9" s="1">
        <v>168700</v>
      </c>
      <c r="E9" s="1">
        <v>32100</v>
      </c>
      <c r="F9" s="1">
        <v>309300</v>
      </c>
      <c r="G9">
        <v>300</v>
      </c>
      <c r="H9">
        <v>0</v>
      </c>
      <c r="I9">
        <v>0</v>
      </c>
      <c r="J9">
        <v>0</v>
      </c>
      <c r="K9" s="2">
        <v>4327800</v>
      </c>
      <c r="L9" s="1">
        <v>86900</v>
      </c>
      <c r="M9" s="1">
        <v>31500</v>
      </c>
      <c r="N9" s="1">
        <f>SUM(B9:M9)</f>
        <v>5060000</v>
      </c>
      <c r="O9" s="8">
        <f>B9/N9</f>
        <v>1.424901185770751E-2</v>
      </c>
      <c r="P9" s="8">
        <f>C9/N9</f>
        <v>6.1857707509881425E-3</v>
      </c>
      <c r="Q9" s="8">
        <f>D9/N9</f>
        <v>3.3339920948616604E-2</v>
      </c>
      <c r="R9" s="7">
        <f>K9/N9</f>
        <v>0.85529644268774707</v>
      </c>
      <c r="S9" s="7">
        <f>SUM(B9:D9)/N9</f>
        <v>5.3774703557312252E-2</v>
      </c>
    </row>
    <row r="10" spans="1:19" x14ac:dyDescent="0.25">
      <c r="A10" t="s">
        <v>18</v>
      </c>
      <c r="B10" s="1">
        <v>90100</v>
      </c>
      <c r="C10" s="1">
        <v>37500</v>
      </c>
      <c r="D10" s="1">
        <v>152700</v>
      </c>
      <c r="E10" s="1">
        <v>68100</v>
      </c>
      <c r="F10" s="1">
        <v>334300</v>
      </c>
      <c r="G10">
        <v>300</v>
      </c>
      <c r="H10">
        <v>100</v>
      </c>
      <c r="I10">
        <v>0</v>
      </c>
      <c r="J10">
        <v>0</v>
      </c>
      <c r="K10" s="2">
        <v>4508800</v>
      </c>
      <c r="L10" s="1">
        <v>203400</v>
      </c>
      <c r="M10" s="1">
        <v>46500</v>
      </c>
      <c r="N10" s="1">
        <f>SUM(B10:M10)</f>
        <v>5441800</v>
      </c>
      <c r="O10" s="8">
        <f>B10/N10</f>
        <v>1.6557021573743981E-2</v>
      </c>
      <c r="P10" s="8">
        <f>C10/N10</f>
        <v>6.8911022088279615E-3</v>
      </c>
      <c r="Q10" s="8">
        <f>D10/N10</f>
        <v>2.8060568194347459E-2</v>
      </c>
      <c r="R10" s="7">
        <f>K10/N10</f>
        <v>0.82854937704436027</v>
      </c>
      <c r="S10" s="7">
        <f>SUM(B10:D10)/N10</f>
        <v>5.1508691976919402E-2</v>
      </c>
    </row>
    <row r="11" spans="1:19" x14ac:dyDescent="0.25">
      <c r="A11" t="s">
        <v>41</v>
      </c>
      <c r="B11" s="1">
        <v>47400</v>
      </c>
      <c r="C11" s="1">
        <v>10600</v>
      </c>
      <c r="D11" s="1">
        <v>69600</v>
      </c>
      <c r="E11" s="1">
        <v>27200</v>
      </c>
      <c r="F11" s="1">
        <v>125600</v>
      </c>
      <c r="G11">
        <v>200</v>
      </c>
      <c r="H11">
        <v>100</v>
      </c>
      <c r="I11">
        <v>0</v>
      </c>
      <c r="J11">
        <v>0</v>
      </c>
      <c r="K11" s="2">
        <v>2169300</v>
      </c>
      <c r="L11" s="1">
        <v>85800</v>
      </c>
      <c r="M11" s="1">
        <v>20300</v>
      </c>
      <c r="N11" s="1">
        <f>SUM(B11:M11)</f>
        <v>2556100</v>
      </c>
      <c r="O11" s="8">
        <f>B11/N11</f>
        <v>1.8543875435233365E-2</v>
      </c>
      <c r="P11" s="8">
        <f>C11/N11</f>
        <v>4.1469426078791912E-3</v>
      </c>
      <c r="Q11" s="8">
        <f>D11/N11</f>
        <v>2.7228981651735065E-2</v>
      </c>
      <c r="R11" s="7">
        <f>K11/N11</f>
        <v>0.84867571691248389</v>
      </c>
      <c r="S11" s="7">
        <f>SUM(B11:D11)/N11</f>
        <v>4.9919799694847618E-2</v>
      </c>
    </row>
    <row r="12" spans="1:19" x14ac:dyDescent="0.25">
      <c r="A12" t="s">
        <v>43</v>
      </c>
      <c r="B12" s="1">
        <v>134800</v>
      </c>
      <c r="C12" s="1">
        <v>40900</v>
      </c>
      <c r="D12" s="1">
        <v>174200</v>
      </c>
      <c r="E12" s="1">
        <v>27800</v>
      </c>
      <c r="F12" s="1">
        <v>392100</v>
      </c>
      <c r="G12">
        <v>300</v>
      </c>
      <c r="H12">
        <v>0</v>
      </c>
      <c r="I12">
        <v>0</v>
      </c>
      <c r="J12">
        <v>0</v>
      </c>
      <c r="K12" s="2">
        <v>6433000</v>
      </c>
      <c r="L12" s="1">
        <v>84600</v>
      </c>
      <c r="M12" s="1">
        <v>36400</v>
      </c>
      <c r="N12" s="1">
        <f>SUM(B12:M12)</f>
        <v>7324100</v>
      </c>
      <c r="O12" s="8">
        <f>B12/N12</f>
        <v>1.8404991739599405E-2</v>
      </c>
      <c r="P12" s="8">
        <f>C12/N12</f>
        <v>5.5843038735134696E-3</v>
      </c>
      <c r="Q12" s="8">
        <f>D12/N12</f>
        <v>2.378449229256837E-2</v>
      </c>
      <c r="R12" s="7">
        <f>K12/N12</f>
        <v>0.87833317404186184</v>
      </c>
      <c r="S12" s="7">
        <f>SUM(B12:D12)/N12</f>
        <v>4.7773787905681243E-2</v>
      </c>
    </row>
    <row r="13" spans="1:19" x14ac:dyDescent="0.25">
      <c r="A13" t="s">
        <v>45</v>
      </c>
      <c r="B13" s="1">
        <v>131300</v>
      </c>
      <c r="C13" s="1">
        <v>92300</v>
      </c>
      <c r="D13" s="1">
        <v>314000</v>
      </c>
      <c r="E13" s="1">
        <v>54300</v>
      </c>
      <c r="F13" s="1">
        <v>591100</v>
      </c>
      <c r="G13">
        <v>400</v>
      </c>
      <c r="H13">
        <v>100</v>
      </c>
      <c r="I13">
        <v>0</v>
      </c>
      <c r="J13">
        <v>0</v>
      </c>
      <c r="K13" s="2">
        <v>9905500</v>
      </c>
      <c r="L13" s="1">
        <v>150500</v>
      </c>
      <c r="M13" s="1">
        <v>79100</v>
      </c>
      <c r="N13" s="1">
        <f>SUM(B13:M13)</f>
        <v>11318600</v>
      </c>
      <c r="O13" s="8">
        <f>B13/N13</f>
        <v>1.1600374604633082E-2</v>
      </c>
      <c r="P13" s="8">
        <f>C13/N13</f>
        <v>8.1547187814747409E-3</v>
      </c>
      <c r="Q13" s="8">
        <f>D13/N13</f>
        <v>2.7741946883890235E-2</v>
      </c>
      <c r="R13" s="7">
        <f>K13/N13</f>
        <v>0.87515240400756278</v>
      </c>
      <c r="S13" s="7">
        <f>SUM(B13:D13)/N13</f>
        <v>4.7497040269998056E-2</v>
      </c>
    </row>
    <row r="14" spans="1:19" x14ac:dyDescent="0.25">
      <c r="A14" t="s">
        <v>15</v>
      </c>
      <c r="B14" s="1">
        <v>89800</v>
      </c>
      <c r="C14" s="1">
        <v>25600</v>
      </c>
      <c r="D14" s="1">
        <v>175700</v>
      </c>
      <c r="E14" s="1">
        <v>68600</v>
      </c>
      <c r="F14" s="1">
        <v>437100</v>
      </c>
      <c r="G14">
        <v>600</v>
      </c>
      <c r="H14">
        <v>700</v>
      </c>
      <c r="I14">
        <v>0</v>
      </c>
      <c r="J14">
        <v>0</v>
      </c>
      <c r="K14" s="2">
        <v>5469000</v>
      </c>
      <c r="L14" s="1">
        <v>197700</v>
      </c>
      <c r="M14" s="1">
        <v>64200</v>
      </c>
      <c r="N14" s="1">
        <f>SUM(B14:M14)</f>
        <v>6529000</v>
      </c>
      <c r="O14" s="8">
        <f>B14/N14</f>
        <v>1.3754020523816817E-2</v>
      </c>
      <c r="P14" s="8">
        <f>C14/N14</f>
        <v>3.9209679889722774E-3</v>
      </c>
      <c r="Q14" s="8">
        <f>D14/N14</f>
        <v>2.6910706080563639E-2</v>
      </c>
      <c r="R14" s="7">
        <f>K14/N14</f>
        <v>0.83764741920661667</v>
      </c>
      <c r="S14" s="7">
        <f>SUM(B14:D14)/N14</f>
        <v>4.4585694593352737E-2</v>
      </c>
    </row>
    <row r="15" spans="1:19" x14ac:dyDescent="0.25">
      <c r="A15" t="s">
        <v>57</v>
      </c>
      <c r="B15" s="1">
        <v>40000</v>
      </c>
      <c r="C15" s="1">
        <v>13000</v>
      </c>
      <c r="D15" s="1">
        <v>83200</v>
      </c>
      <c r="E15" s="1">
        <v>68500</v>
      </c>
      <c r="F15" s="1">
        <v>185200</v>
      </c>
      <c r="G15" s="1">
        <v>2200</v>
      </c>
      <c r="H15">
        <v>500</v>
      </c>
      <c r="I15">
        <v>0</v>
      </c>
      <c r="J15">
        <v>0</v>
      </c>
      <c r="K15" s="2">
        <v>2499600</v>
      </c>
      <c r="L15" s="1">
        <v>158000</v>
      </c>
      <c r="M15" s="1">
        <v>26000</v>
      </c>
      <c r="N15" s="1">
        <f>SUM(B15:M15)</f>
        <v>3076200</v>
      </c>
      <c r="O15" s="8">
        <f>B15/N15</f>
        <v>1.3003055718093752E-2</v>
      </c>
      <c r="P15" s="8">
        <f>C15/N15</f>
        <v>4.2259931083804695E-3</v>
      </c>
      <c r="Q15" s="8">
        <f>D15/N15</f>
        <v>2.7046355893635004E-2</v>
      </c>
      <c r="R15" s="7">
        <f>K15/N15</f>
        <v>0.8125609518236786</v>
      </c>
      <c r="S15" s="7">
        <f>SUM(B15:D15)/N15</f>
        <v>4.4275404720109227E-2</v>
      </c>
    </row>
    <row r="16" spans="1:19" x14ac:dyDescent="0.25">
      <c r="A16" t="s">
        <v>59</v>
      </c>
      <c r="B16" s="1">
        <v>84900</v>
      </c>
      <c r="C16" s="1">
        <v>26800</v>
      </c>
      <c r="D16" s="1">
        <v>229400</v>
      </c>
      <c r="E16" s="1">
        <v>44300</v>
      </c>
      <c r="F16" s="1">
        <v>484800</v>
      </c>
      <c r="G16">
        <v>300</v>
      </c>
      <c r="H16">
        <v>0</v>
      </c>
      <c r="I16">
        <v>0</v>
      </c>
      <c r="J16">
        <v>0</v>
      </c>
      <c r="K16" s="2">
        <v>6670000</v>
      </c>
      <c r="L16" s="1">
        <v>152800</v>
      </c>
      <c r="M16" s="1">
        <v>30200</v>
      </c>
      <c r="N16" s="1">
        <f>SUM(B16:M16)</f>
        <v>7723500</v>
      </c>
      <c r="O16" s="8">
        <f>B16/N16</f>
        <v>1.0992425713730821E-2</v>
      </c>
      <c r="P16" s="8">
        <f>C16/N16</f>
        <v>3.4699294361364664E-3</v>
      </c>
      <c r="Q16" s="8">
        <f>D16/N16</f>
        <v>2.9701560173496473E-2</v>
      </c>
      <c r="R16" s="7">
        <f>K16/N16</f>
        <v>0.86359810966530715</v>
      </c>
      <c r="S16" s="7">
        <f>SUM(B16:D16)/N16</f>
        <v>4.4163915323363757E-2</v>
      </c>
    </row>
    <row r="17" spans="1:19" x14ac:dyDescent="0.25">
      <c r="A17" t="s">
        <v>19</v>
      </c>
      <c r="B17" s="1">
        <v>31600</v>
      </c>
      <c r="C17" s="1">
        <v>18400</v>
      </c>
      <c r="D17" s="1">
        <v>75300</v>
      </c>
      <c r="E17" s="1">
        <v>10900</v>
      </c>
      <c r="F17" s="1">
        <v>133600</v>
      </c>
      <c r="G17">
        <v>100</v>
      </c>
      <c r="H17">
        <v>0</v>
      </c>
      <c r="I17">
        <v>0</v>
      </c>
      <c r="J17">
        <v>0</v>
      </c>
      <c r="K17" s="2">
        <v>2612600</v>
      </c>
      <c r="L17" s="1">
        <v>42300</v>
      </c>
      <c r="M17" s="1">
        <v>20900</v>
      </c>
      <c r="N17" s="1">
        <f>SUM(B17:M17)</f>
        <v>2945700</v>
      </c>
      <c r="O17" s="8">
        <f>B17/N17</f>
        <v>1.072750110330312E-2</v>
      </c>
      <c r="P17" s="8">
        <f>C17/N17</f>
        <v>6.246393047492956E-3</v>
      </c>
      <c r="Q17" s="8">
        <f>D17/N17</f>
        <v>2.5562684591098891E-2</v>
      </c>
      <c r="R17" s="7">
        <f>K17/N17</f>
        <v>0.8869199171673966</v>
      </c>
      <c r="S17" s="7">
        <f>SUM(B17:D17)/N17</f>
        <v>4.2536578741894968E-2</v>
      </c>
    </row>
    <row r="18" spans="1:19" x14ac:dyDescent="0.25">
      <c r="A18" t="s">
        <v>26</v>
      </c>
      <c r="B18" s="1">
        <v>99600</v>
      </c>
      <c r="C18" s="1">
        <v>33400</v>
      </c>
      <c r="D18" s="1">
        <v>285400</v>
      </c>
      <c r="E18" s="1">
        <v>61500</v>
      </c>
      <c r="F18" s="1">
        <v>772900</v>
      </c>
      <c r="G18">
        <v>300</v>
      </c>
      <c r="H18">
        <v>0</v>
      </c>
      <c r="I18">
        <v>0</v>
      </c>
      <c r="J18">
        <v>0</v>
      </c>
      <c r="K18" s="2">
        <v>8560300</v>
      </c>
      <c r="L18" s="1">
        <v>170200</v>
      </c>
      <c r="M18" s="1">
        <v>59600</v>
      </c>
      <c r="N18" s="1">
        <f>SUM(B18:M18)</f>
        <v>10043200</v>
      </c>
      <c r="O18" s="8">
        <f>B18/N18</f>
        <v>9.917157877967181E-3</v>
      </c>
      <c r="P18" s="8">
        <f>C18/N18</f>
        <v>3.3256332642982315E-3</v>
      </c>
      <c r="Q18" s="8">
        <f>D18/N18</f>
        <v>2.8417237533853751E-2</v>
      </c>
      <c r="R18" s="7">
        <f>K18/N18</f>
        <v>0.8523478572566513</v>
      </c>
      <c r="S18" s="7">
        <f>SUM(B18:D18)/N18</f>
        <v>4.1660028676119162E-2</v>
      </c>
    </row>
    <row r="19" spans="1:19" x14ac:dyDescent="0.25">
      <c r="A19" t="s">
        <v>32</v>
      </c>
      <c r="B19" s="1">
        <v>7400</v>
      </c>
      <c r="C19" s="1">
        <v>7600</v>
      </c>
      <c r="D19" s="1">
        <v>33600</v>
      </c>
      <c r="E19" s="1">
        <v>12000</v>
      </c>
      <c r="F19" s="1">
        <v>104500</v>
      </c>
      <c r="G19">
        <v>0</v>
      </c>
      <c r="H19">
        <v>0</v>
      </c>
      <c r="I19">
        <v>0</v>
      </c>
      <c r="J19">
        <v>0</v>
      </c>
      <c r="K19" s="2">
        <v>1036100</v>
      </c>
      <c r="L19" s="1">
        <v>26900</v>
      </c>
      <c r="M19" s="1">
        <v>7900</v>
      </c>
      <c r="N19" s="1">
        <f>SUM(B19:M19)</f>
        <v>1236000</v>
      </c>
      <c r="O19" s="8">
        <f>B19/N19</f>
        <v>5.9870550161812298E-3</v>
      </c>
      <c r="P19" s="8">
        <f>C19/N19</f>
        <v>6.1488673139158574E-3</v>
      </c>
      <c r="Q19" s="8">
        <f>D19/N19</f>
        <v>2.7184466019417475E-2</v>
      </c>
      <c r="R19" s="7">
        <f>K19/N19</f>
        <v>0.83826860841423945</v>
      </c>
      <c r="S19" s="7">
        <f>SUM(B19:D19)/N19</f>
        <v>3.9320388349514561E-2</v>
      </c>
    </row>
    <row r="20" spans="1:19" x14ac:dyDescent="0.25">
      <c r="A20" t="s">
        <v>22</v>
      </c>
      <c r="B20" s="1">
        <v>254900</v>
      </c>
      <c r="C20" s="1">
        <v>57300</v>
      </c>
      <c r="D20" s="1">
        <v>414500</v>
      </c>
      <c r="E20" s="1">
        <v>170500</v>
      </c>
      <c r="F20" s="1">
        <v>1101100</v>
      </c>
      <c r="G20">
        <v>400</v>
      </c>
      <c r="H20">
        <v>100</v>
      </c>
      <c r="I20">
        <v>0</v>
      </c>
      <c r="J20">
        <v>0</v>
      </c>
      <c r="K20" s="2">
        <v>16136500</v>
      </c>
      <c r="L20" s="1">
        <v>351800</v>
      </c>
      <c r="M20" s="1">
        <v>96100</v>
      </c>
      <c r="N20" s="1">
        <f>SUM(B20:M20)</f>
        <v>18583200</v>
      </c>
      <c r="O20" s="8">
        <f>B20/N20</f>
        <v>1.3716690343966593E-2</v>
      </c>
      <c r="P20" s="8">
        <f>C20/N20</f>
        <v>3.0834301950148522E-3</v>
      </c>
      <c r="Q20" s="8">
        <f>D20/N20</f>
        <v>2.2305092771966076E-2</v>
      </c>
      <c r="R20" s="7">
        <f>K20/N20</f>
        <v>0.86833806879331865</v>
      </c>
      <c r="S20" s="7">
        <f>SUM(B20:D20)/N20</f>
        <v>3.9105213310947524E-2</v>
      </c>
    </row>
    <row r="21" spans="1:19" x14ac:dyDescent="0.25">
      <c r="A21" t="s">
        <v>42</v>
      </c>
      <c r="B21" s="1">
        <v>9900</v>
      </c>
      <c r="C21" s="1">
        <v>6600</v>
      </c>
      <c r="D21" s="1">
        <v>36800</v>
      </c>
      <c r="E21" s="1">
        <v>13900</v>
      </c>
      <c r="F21" s="1">
        <v>89600</v>
      </c>
      <c r="G21">
        <v>100</v>
      </c>
      <c r="H21">
        <v>0</v>
      </c>
      <c r="I21">
        <v>0</v>
      </c>
      <c r="J21">
        <v>0</v>
      </c>
      <c r="K21" s="2">
        <v>1185300</v>
      </c>
      <c r="L21" s="1">
        <v>29200</v>
      </c>
      <c r="M21" s="1">
        <v>12300</v>
      </c>
      <c r="N21" s="1">
        <f>SUM(B21:M21)</f>
        <v>1383700</v>
      </c>
      <c r="O21" s="8">
        <f>B21/N21</f>
        <v>7.1547300715473008E-3</v>
      </c>
      <c r="P21" s="8">
        <f>C21/N21</f>
        <v>4.7698200476982006E-3</v>
      </c>
      <c r="Q21" s="8">
        <f>D21/N21</f>
        <v>2.6595360265953601E-2</v>
      </c>
      <c r="R21" s="7">
        <f>K21/N21</f>
        <v>0.85661631856616316</v>
      </c>
      <c r="S21" s="7">
        <f>SUM(B21:D21)/N21</f>
        <v>3.8519910385199106E-2</v>
      </c>
    </row>
    <row r="22" spans="1:19" x14ac:dyDescent="0.25">
      <c r="A22" t="s">
        <v>20</v>
      </c>
      <c r="B22" s="1">
        <v>8400</v>
      </c>
      <c r="C22" s="1">
        <v>3800</v>
      </c>
      <c r="D22" s="1">
        <v>22900</v>
      </c>
      <c r="E22" s="1">
        <v>5100</v>
      </c>
      <c r="F22" s="1">
        <v>63900</v>
      </c>
      <c r="G22">
        <v>0</v>
      </c>
      <c r="H22">
        <v>0</v>
      </c>
      <c r="I22">
        <v>0</v>
      </c>
      <c r="J22">
        <v>0</v>
      </c>
      <c r="K22" s="2">
        <v>791300</v>
      </c>
      <c r="L22" s="1">
        <v>14200</v>
      </c>
      <c r="M22" s="1">
        <v>5100</v>
      </c>
      <c r="N22" s="1">
        <f>SUM(B22:M22)</f>
        <v>914700</v>
      </c>
      <c r="O22" s="8">
        <f>B22/N22</f>
        <v>9.1833387996064289E-3</v>
      </c>
      <c r="P22" s="8">
        <f>C22/N22</f>
        <v>4.1543675522029084E-3</v>
      </c>
      <c r="Q22" s="8">
        <f>D22/N22</f>
        <v>2.5035530775117526E-2</v>
      </c>
      <c r="R22" s="7">
        <f>K22/N22</f>
        <v>0.86509238001530553</v>
      </c>
      <c r="S22" s="7">
        <f>SUM(B22:D22)/N22</f>
        <v>3.8373237126926862E-2</v>
      </c>
    </row>
    <row r="23" spans="1:19" x14ac:dyDescent="0.25">
      <c r="A23" t="s">
        <v>52</v>
      </c>
      <c r="B23" s="1">
        <v>6400</v>
      </c>
      <c r="C23" s="1">
        <v>5100</v>
      </c>
      <c r="D23" s="1">
        <v>22100</v>
      </c>
      <c r="E23" s="1">
        <v>3100</v>
      </c>
      <c r="F23" s="1">
        <v>41900</v>
      </c>
      <c r="G23">
        <v>0</v>
      </c>
      <c r="H23">
        <v>0</v>
      </c>
      <c r="I23">
        <v>0</v>
      </c>
      <c r="J23">
        <v>0</v>
      </c>
      <c r="K23" s="2">
        <v>782000</v>
      </c>
      <c r="L23" s="1">
        <v>11000</v>
      </c>
      <c r="M23" s="1">
        <v>6000</v>
      </c>
      <c r="N23" s="1">
        <f>SUM(B23:M23)</f>
        <v>877600</v>
      </c>
      <c r="O23" s="8">
        <f>B23/N23</f>
        <v>7.2926162260711028E-3</v>
      </c>
      <c r="P23" s="8">
        <f>C23/N23</f>
        <v>5.8113035551504103E-3</v>
      </c>
      <c r="Q23" s="8">
        <f>D23/N23</f>
        <v>2.5182315405651776E-2</v>
      </c>
      <c r="R23" s="7">
        <f>K23/N23</f>
        <v>0.89106654512306294</v>
      </c>
      <c r="S23" s="7">
        <f>SUM(B23:D23)/N23</f>
        <v>3.8286235186873289E-2</v>
      </c>
    </row>
    <row r="24" spans="1:19" x14ac:dyDescent="0.25">
      <c r="A24" t="s">
        <v>51</v>
      </c>
      <c r="B24" s="1">
        <v>70200</v>
      </c>
      <c r="C24" s="1">
        <v>38900</v>
      </c>
      <c r="D24" s="1">
        <v>245400</v>
      </c>
      <c r="E24" s="1">
        <v>73900</v>
      </c>
      <c r="F24" s="1">
        <v>661700</v>
      </c>
      <c r="G24">
        <v>500</v>
      </c>
      <c r="H24">
        <v>100</v>
      </c>
      <c r="I24">
        <v>0</v>
      </c>
      <c r="J24">
        <v>0</v>
      </c>
      <c r="K24" s="2">
        <v>8886400</v>
      </c>
      <c r="L24" s="1">
        <v>192100</v>
      </c>
      <c r="M24" s="1">
        <v>41800</v>
      </c>
      <c r="N24" s="1">
        <f>SUM(B24:M24)</f>
        <v>10211000</v>
      </c>
      <c r="O24" s="8">
        <f>B24/N24</f>
        <v>6.8749387914993632E-3</v>
      </c>
      <c r="P24" s="8">
        <f>C24/N24</f>
        <v>3.8096170796200176E-3</v>
      </c>
      <c r="Q24" s="8">
        <f>D24/N24</f>
        <v>2.4032905689942218E-2</v>
      </c>
      <c r="R24" s="7">
        <f>K24/N24</f>
        <v>0.87027715209088241</v>
      </c>
      <c r="S24" s="7">
        <f>SUM(B24:D24)/N24</f>
        <v>3.4717461561061598E-2</v>
      </c>
    </row>
    <row r="25" spans="1:19" x14ac:dyDescent="0.25">
      <c r="A25" t="s">
        <v>36</v>
      </c>
      <c r="B25" s="1">
        <v>37100</v>
      </c>
      <c r="C25" s="1">
        <v>16100</v>
      </c>
      <c r="D25" s="1">
        <v>124500</v>
      </c>
      <c r="E25" s="1">
        <v>52700</v>
      </c>
      <c r="F25" s="1">
        <v>516400</v>
      </c>
      <c r="G25">
        <v>100</v>
      </c>
      <c r="H25">
        <v>0</v>
      </c>
      <c r="I25">
        <v>0</v>
      </c>
      <c r="J25">
        <v>0</v>
      </c>
      <c r="K25" s="2">
        <v>4219200</v>
      </c>
      <c r="L25" s="1">
        <v>127900</v>
      </c>
      <c r="M25" s="1">
        <v>24500</v>
      </c>
      <c r="N25" s="1">
        <f>SUM(B25:M25)</f>
        <v>5118500</v>
      </c>
      <c r="O25" s="8">
        <f>B25/N25</f>
        <v>7.2482172511477974E-3</v>
      </c>
      <c r="P25" s="8">
        <f>C25/N25</f>
        <v>3.1454527693660253E-3</v>
      </c>
      <c r="Q25" s="8">
        <f>D25/N25</f>
        <v>2.4323532284849077E-2</v>
      </c>
      <c r="R25" s="7">
        <f>K25/N25</f>
        <v>0.8243039953111263</v>
      </c>
      <c r="S25" s="7">
        <f>SUM(B25:D25)/N25</f>
        <v>3.4717202305362897E-2</v>
      </c>
    </row>
    <row r="26" spans="1:19" x14ac:dyDescent="0.25">
      <c r="A26" t="s">
        <v>46</v>
      </c>
      <c r="B26" s="1">
        <v>70200</v>
      </c>
      <c r="C26" s="1">
        <v>23700</v>
      </c>
      <c r="D26" s="1">
        <v>210600</v>
      </c>
      <c r="E26" s="1">
        <v>80200</v>
      </c>
      <c r="F26" s="1">
        <v>655000</v>
      </c>
      <c r="G26">
        <v>300</v>
      </c>
      <c r="H26">
        <v>100</v>
      </c>
      <c r="I26">
        <v>0</v>
      </c>
      <c r="J26">
        <v>0</v>
      </c>
      <c r="K26" s="2">
        <v>7764000</v>
      </c>
      <c r="L26" s="1">
        <v>209700</v>
      </c>
      <c r="M26" s="1">
        <v>71700</v>
      </c>
      <c r="N26" s="1">
        <f>SUM(B26:M26)</f>
        <v>9085500</v>
      </c>
      <c r="O26" s="8">
        <f>B26/N26</f>
        <v>7.7265973254086184E-3</v>
      </c>
      <c r="P26" s="8">
        <f>C26/N26</f>
        <v>2.608552088492653E-3</v>
      </c>
      <c r="Q26" s="8">
        <f>D26/N26</f>
        <v>2.3179791976225855E-2</v>
      </c>
      <c r="R26" s="7">
        <f>K26/N26</f>
        <v>0.85454845633151721</v>
      </c>
      <c r="S26" s="7">
        <f>SUM(B26:D26)/N26</f>
        <v>3.3514941390127125E-2</v>
      </c>
    </row>
    <row r="27" spans="1:19" x14ac:dyDescent="0.25">
      <c r="A27" t="s">
        <v>44</v>
      </c>
      <c r="B27" s="1">
        <v>10300</v>
      </c>
      <c r="C27" s="1">
        <v>4900</v>
      </c>
      <c r="D27" s="1">
        <v>44300</v>
      </c>
      <c r="E27" s="1">
        <v>32100</v>
      </c>
      <c r="F27" s="1">
        <v>151600</v>
      </c>
      <c r="G27">
        <v>100</v>
      </c>
      <c r="H27">
        <v>100</v>
      </c>
      <c r="I27">
        <v>0</v>
      </c>
      <c r="J27">
        <v>0</v>
      </c>
      <c r="K27" s="2">
        <v>1597600</v>
      </c>
      <c r="L27" s="1">
        <v>88500</v>
      </c>
      <c r="M27" s="1">
        <v>22900</v>
      </c>
      <c r="N27" s="1">
        <f>SUM(B27:M27)</f>
        <v>1952400</v>
      </c>
      <c r="O27" s="8">
        <f>B27/N27</f>
        <v>5.2755582872362223E-3</v>
      </c>
      <c r="P27" s="8">
        <f>C27/N27</f>
        <v>2.5097316123745134E-3</v>
      </c>
      <c r="Q27" s="8">
        <f>D27/N27</f>
        <v>2.2690022536365498E-2</v>
      </c>
      <c r="R27" s="7">
        <f>K27/N27</f>
        <v>0.81827494365908626</v>
      </c>
      <c r="S27" s="7">
        <f>SUM(B27:D27)/N27</f>
        <v>3.0475312435976235E-2</v>
      </c>
    </row>
    <row r="28" spans="1:19" x14ac:dyDescent="0.25">
      <c r="A28" t="s">
        <v>23</v>
      </c>
      <c r="B28" s="1">
        <v>92400</v>
      </c>
      <c r="C28" s="1">
        <v>22700</v>
      </c>
      <c r="D28" s="1">
        <v>175300</v>
      </c>
      <c r="E28" s="1">
        <v>92500</v>
      </c>
      <c r="F28" s="1">
        <v>719400</v>
      </c>
      <c r="G28">
        <v>300</v>
      </c>
      <c r="H28">
        <v>200</v>
      </c>
      <c r="I28">
        <v>0</v>
      </c>
      <c r="J28">
        <v>0</v>
      </c>
      <c r="K28" s="2">
        <v>8256400</v>
      </c>
      <c r="L28" s="1">
        <v>206300</v>
      </c>
      <c r="M28" s="1">
        <v>76900</v>
      </c>
      <c r="N28" s="1">
        <f>SUM(B28:M28)</f>
        <v>9642400</v>
      </c>
      <c r="O28" s="8">
        <f>B28/N28</f>
        <v>9.5826765120716837E-3</v>
      </c>
      <c r="P28" s="8">
        <f>C28/N28</f>
        <v>2.3541856799137143E-3</v>
      </c>
      <c r="Q28" s="8">
        <f>D28/N28</f>
        <v>1.8180121131668465E-2</v>
      </c>
      <c r="R28" s="7">
        <f>K28/N28</f>
        <v>0.85625985231892476</v>
      </c>
      <c r="S28" s="7">
        <f>SUM(B28:D28)/N28</f>
        <v>3.0116983323653861E-2</v>
      </c>
    </row>
    <row r="29" spans="1:19" x14ac:dyDescent="0.25">
      <c r="A29" t="s">
        <v>62</v>
      </c>
      <c r="B29" s="1">
        <v>24900</v>
      </c>
      <c r="C29" s="1">
        <v>12500</v>
      </c>
      <c r="D29" s="1">
        <v>123600</v>
      </c>
      <c r="E29" s="1">
        <v>52900</v>
      </c>
      <c r="F29" s="1">
        <v>536200</v>
      </c>
      <c r="G29">
        <v>300</v>
      </c>
      <c r="H29">
        <v>0</v>
      </c>
      <c r="I29">
        <v>0</v>
      </c>
      <c r="J29">
        <v>0</v>
      </c>
      <c r="K29" s="2">
        <v>4604700</v>
      </c>
      <c r="L29" s="1">
        <v>147500</v>
      </c>
      <c r="M29" s="1">
        <v>26400</v>
      </c>
      <c r="N29" s="1">
        <f>SUM(B29:M29)</f>
        <v>5529000</v>
      </c>
      <c r="O29" s="8">
        <f>B29/N29</f>
        <v>4.5035268583830711E-3</v>
      </c>
      <c r="P29" s="8">
        <f>C29/N29</f>
        <v>2.2608066558147946E-3</v>
      </c>
      <c r="Q29" s="8">
        <f>D29/N29</f>
        <v>2.2354856212696689E-2</v>
      </c>
      <c r="R29" s="7">
        <f>K29/N29</f>
        <v>0.83282691264243081</v>
      </c>
      <c r="S29" s="7">
        <f>SUM(B29:D29)/N29</f>
        <v>2.9119189726894555E-2</v>
      </c>
    </row>
    <row r="30" spans="1:19" x14ac:dyDescent="0.25">
      <c r="A30" t="s">
        <v>25</v>
      </c>
      <c r="B30" s="1">
        <v>8500</v>
      </c>
      <c r="C30" s="1">
        <v>4600</v>
      </c>
      <c r="D30" s="1">
        <v>43700</v>
      </c>
      <c r="E30" s="1">
        <v>45900</v>
      </c>
      <c r="F30" s="1">
        <v>132900</v>
      </c>
      <c r="G30">
        <v>100</v>
      </c>
      <c r="H30">
        <v>100</v>
      </c>
      <c r="I30">
        <v>0</v>
      </c>
      <c r="J30">
        <v>0</v>
      </c>
      <c r="K30" s="2">
        <v>1568600</v>
      </c>
      <c r="L30" s="1">
        <v>138600</v>
      </c>
      <c r="M30" s="1">
        <v>31600</v>
      </c>
      <c r="N30" s="1">
        <f>SUM(B30:M30)</f>
        <v>1974600</v>
      </c>
      <c r="O30" s="8">
        <f>B30/N30</f>
        <v>4.3046693001114146E-3</v>
      </c>
      <c r="P30" s="8">
        <f>C30/N30</f>
        <v>2.3295857388838247E-3</v>
      </c>
      <c r="Q30" s="8">
        <f>D30/N30</f>
        <v>2.2131064519396334E-2</v>
      </c>
      <c r="R30" s="7">
        <f>K30/N30</f>
        <v>0.79438873695938417</v>
      </c>
      <c r="S30" s="7">
        <f>SUM(B30:D30)/N30</f>
        <v>2.8765319558391574E-2</v>
      </c>
    </row>
    <row r="31" spans="1:19" x14ac:dyDescent="0.25">
      <c r="A31" t="s">
        <v>56</v>
      </c>
      <c r="B31" s="1">
        <v>230100</v>
      </c>
      <c r="C31" s="1">
        <v>55300</v>
      </c>
      <c r="D31" s="1">
        <v>445100</v>
      </c>
      <c r="E31" s="1">
        <v>460700</v>
      </c>
      <c r="F31" s="1">
        <v>2315400</v>
      </c>
      <c r="G31" s="1">
        <v>1300</v>
      </c>
      <c r="H31" s="1">
        <v>1300</v>
      </c>
      <c r="I31">
        <v>0</v>
      </c>
      <c r="J31">
        <v>0</v>
      </c>
      <c r="K31" s="2">
        <v>21392800</v>
      </c>
      <c r="L31" s="1">
        <v>772800</v>
      </c>
      <c r="M31" s="1">
        <v>121800</v>
      </c>
      <c r="N31" s="1">
        <f>SUM(B31:M31)</f>
        <v>25796600</v>
      </c>
      <c r="O31" s="8">
        <f>B31/N31</f>
        <v>8.9197801260631239E-3</v>
      </c>
      <c r="P31" s="8">
        <f>C31/N31</f>
        <v>2.1436933549382475E-3</v>
      </c>
      <c r="Q31" s="8">
        <f>D31/N31</f>
        <v>1.7254211795352876E-2</v>
      </c>
      <c r="R31" s="7">
        <f>K31/N31</f>
        <v>0.82928758053386875</v>
      </c>
      <c r="S31" s="7">
        <f>SUM(B31:D31)/N31</f>
        <v>2.8317685276354247E-2</v>
      </c>
    </row>
    <row r="32" spans="1:19" x14ac:dyDescent="0.25">
      <c r="A32" t="s">
        <v>39</v>
      </c>
      <c r="B32" s="1">
        <v>4600</v>
      </c>
      <c r="C32" s="1">
        <v>2500</v>
      </c>
      <c r="D32" s="1">
        <v>21100</v>
      </c>
      <c r="E32" s="1">
        <v>37900</v>
      </c>
      <c r="F32" s="1">
        <v>94500</v>
      </c>
      <c r="G32">
        <v>0</v>
      </c>
      <c r="H32">
        <v>0</v>
      </c>
      <c r="I32">
        <v>0</v>
      </c>
      <c r="J32">
        <v>0</v>
      </c>
      <c r="K32" s="2">
        <v>780700</v>
      </c>
      <c r="L32" s="1">
        <v>69600</v>
      </c>
      <c r="M32" s="1">
        <v>10800</v>
      </c>
      <c r="N32" s="1">
        <f>SUM(B32:M32)</f>
        <v>1021700</v>
      </c>
      <c r="O32" s="8">
        <f>B32/N32</f>
        <v>4.50230008808848E-3</v>
      </c>
      <c r="P32" s="8">
        <f>C32/N32</f>
        <v>2.4469022217872174E-3</v>
      </c>
      <c r="Q32" s="8">
        <f>D32/N32</f>
        <v>2.0651854751884115E-2</v>
      </c>
      <c r="R32" s="7">
        <f>K32/N32</f>
        <v>0.76411862581971224</v>
      </c>
      <c r="S32" s="7">
        <f>SUM(B32:D32)/N32</f>
        <v>2.7601057061759811E-2</v>
      </c>
    </row>
    <row r="33" spans="1:19" x14ac:dyDescent="0.25">
      <c r="A33" t="s">
        <v>38</v>
      </c>
      <c r="B33" s="1">
        <v>26900</v>
      </c>
      <c r="C33" s="1">
        <v>13900</v>
      </c>
      <c r="D33" s="1">
        <v>113900</v>
      </c>
      <c r="E33" s="1">
        <v>70400</v>
      </c>
      <c r="F33" s="1">
        <v>575500</v>
      </c>
      <c r="G33">
        <v>900</v>
      </c>
      <c r="H33">
        <v>100</v>
      </c>
      <c r="I33">
        <v>0</v>
      </c>
      <c r="J33">
        <v>0</v>
      </c>
      <c r="K33" s="2">
        <v>4608600</v>
      </c>
      <c r="L33" s="1">
        <v>178200</v>
      </c>
      <c r="M33" s="1">
        <v>37600</v>
      </c>
      <c r="N33" s="1">
        <f>SUM(B33:M33)</f>
        <v>5626000</v>
      </c>
      <c r="O33" s="8">
        <f>B33/N33</f>
        <v>4.7813722004976895E-3</v>
      </c>
      <c r="P33" s="8">
        <f>C33/N33</f>
        <v>2.4706718805545679E-3</v>
      </c>
      <c r="Q33" s="8">
        <f>D33/N33</f>
        <v>2.0245289726270887E-2</v>
      </c>
      <c r="R33" s="7">
        <f>K33/N33</f>
        <v>0.81916103803768214</v>
      </c>
      <c r="S33" s="7">
        <f>SUM(B33:D33)/N33</f>
        <v>2.7497333807323141E-2</v>
      </c>
    </row>
    <row r="34" spans="1:19" x14ac:dyDescent="0.25">
      <c r="A34" t="s">
        <v>35</v>
      </c>
      <c r="B34" s="1">
        <v>50300</v>
      </c>
      <c r="C34" s="1">
        <v>29100</v>
      </c>
      <c r="D34" s="1">
        <v>148100</v>
      </c>
      <c r="E34" s="1">
        <v>70400</v>
      </c>
      <c r="F34" s="1">
        <v>873700</v>
      </c>
      <c r="G34">
        <v>300</v>
      </c>
      <c r="H34">
        <v>0</v>
      </c>
      <c r="I34">
        <v>0</v>
      </c>
      <c r="J34">
        <v>0</v>
      </c>
      <c r="K34" s="2">
        <v>7129600</v>
      </c>
      <c r="L34" s="1">
        <v>174500</v>
      </c>
      <c r="M34" s="1">
        <v>49400</v>
      </c>
      <c r="N34" s="1">
        <f>SUM(B34:M34)</f>
        <v>8525400</v>
      </c>
      <c r="O34" s="8">
        <f>B34/N34</f>
        <v>5.9000164215168788E-3</v>
      </c>
      <c r="P34" s="8">
        <f>C34/N34</f>
        <v>3.4133295798437608E-3</v>
      </c>
      <c r="Q34" s="8">
        <f>D34/N34</f>
        <v>1.7371618926971168E-2</v>
      </c>
      <c r="R34" s="7">
        <f>K34/N34</f>
        <v>0.83627747671663499</v>
      </c>
      <c r="S34" s="7">
        <f>SUM(B34:D34)/N34</f>
        <v>2.6684964928331809E-2</v>
      </c>
    </row>
    <row r="35" spans="1:19" x14ac:dyDescent="0.25">
      <c r="A35" t="s">
        <v>48</v>
      </c>
      <c r="B35" s="1">
        <v>50400</v>
      </c>
      <c r="C35" s="1">
        <v>24000</v>
      </c>
      <c r="D35" s="1">
        <v>199800</v>
      </c>
      <c r="E35" s="1">
        <v>70300</v>
      </c>
      <c r="F35" s="1">
        <v>833500</v>
      </c>
      <c r="G35">
        <v>700</v>
      </c>
      <c r="H35">
        <v>100</v>
      </c>
      <c r="I35">
        <v>0</v>
      </c>
      <c r="J35">
        <v>0</v>
      </c>
      <c r="K35" s="2">
        <v>8881400</v>
      </c>
      <c r="L35" s="1">
        <v>196200</v>
      </c>
      <c r="M35" s="1">
        <v>60900</v>
      </c>
      <c r="N35" s="1">
        <f>SUM(B35:M35)</f>
        <v>10317300</v>
      </c>
      <c r="O35" s="8">
        <f>B35/N35</f>
        <v>4.8849989822918787E-3</v>
      </c>
      <c r="P35" s="8">
        <f>C35/N35</f>
        <v>2.3261899915675613E-3</v>
      </c>
      <c r="Q35" s="8">
        <f>D35/N35</f>
        <v>1.9365531679799947E-2</v>
      </c>
      <c r="R35" s="7">
        <f>K35/N35</f>
        <v>0.86082599129617243</v>
      </c>
      <c r="S35" s="7">
        <f>SUM(B35:D35)/N35</f>
        <v>2.6576720653659389E-2</v>
      </c>
    </row>
    <row r="36" spans="1:19" x14ac:dyDescent="0.25">
      <c r="A36" t="s">
        <v>49</v>
      </c>
      <c r="B36" s="1">
        <v>22800</v>
      </c>
      <c r="C36" s="1">
        <v>33000</v>
      </c>
      <c r="D36" s="1">
        <v>56400</v>
      </c>
      <c r="E36" s="1">
        <v>63100</v>
      </c>
      <c r="F36" s="1">
        <v>352400</v>
      </c>
      <c r="G36" s="1">
        <v>1800</v>
      </c>
      <c r="H36">
        <v>200</v>
      </c>
      <c r="I36">
        <v>0</v>
      </c>
      <c r="J36">
        <v>0</v>
      </c>
      <c r="K36" s="2">
        <v>3567500</v>
      </c>
      <c r="L36" s="1">
        <v>145700</v>
      </c>
      <c r="M36" s="1">
        <v>45000</v>
      </c>
      <c r="N36" s="1">
        <f>SUM(B36:M36)</f>
        <v>4287900</v>
      </c>
      <c r="O36" s="8">
        <f>B36/N36</f>
        <v>5.3172881830266562E-3</v>
      </c>
      <c r="P36" s="8">
        <f>C36/N36</f>
        <v>7.6960750017491079E-3</v>
      </c>
      <c r="Q36" s="8">
        <f>D36/N36</f>
        <v>1.3153291821171203E-2</v>
      </c>
      <c r="R36" s="7">
        <f>K36/N36</f>
        <v>0.83199235056787701</v>
      </c>
      <c r="S36" s="7">
        <f>SUM(B36:D36)/N36</f>
        <v>2.6166655005946966E-2</v>
      </c>
    </row>
    <row r="37" spans="1:19" x14ac:dyDescent="0.25">
      <c r="A37" t="s">
        <v>29</v>
      </c>
      <c r="B37" s="1">
        <v>11300</v>
      </c>
      <c r="C37" s="1">
        <v>5600</v>
      </c>
      <c r="D37" s="1">
        <v>50400</v>
      </c>
      <c r="E37" s="1">
        <v>27900</v>
      </c>
      <c r="F37" s="1">
        <v>253500</v>
      </c>
      <c r="G37">
        <v>200</v>
      </c>
      <c r="H37">
        <v>100</v>
      </c>
      <c r="I37">
        <v>0</v>
      </c>
      <c r="J37">
        <v>0</v>
      </c>
      <c r="K37" s="2">
        <v>2168600</v>
      </c>
      <c r="L37" s="1">
        <v>87400</v>
      </c>
      <c r="M37" s="1">
        <v>16100</v>
      </c>
      <c r="N37" s="1">
        <f>SUM(B37:M37)</f>
        <v>2621100</v>
      </c>
      <c r="O37" s="8">
        <f>B37/N37</f>
        <v>4.311167067261837E-3</v>
      </c>
      <c r="P37" s="8">
        <f>C37/N37</f>
        <v>2.1365075731563086E-3</v>
      </c>
      <c r="Q37" s="8">
        <f>D37/N37</f>
        <v>1.9228568158406775E-2</v>
      </c>
      <c r="R37" s="7">
        <f>K37/N37</f>
        <v>0.8273625577047804</v>
      </c>
      <c r="S37" s="7">
        <f>SUM(B37:D37)/N37</f>
        <v>2.5676242798824921E-2</v>
      </c>
    </row>
    <row r="38" spans="1:19" x14ac:dyDescent="0.25">
      <c r="A38" t="s">
        <v>27</v>
      </c>
      <c r="B38" s="1">
        <v>26100</v>
      </c>
      <c r="C38" s="1">
        <v>12900</v>
      </c>
      <c r="D38" s="1">
        <v>119100</v>
      </c>
      <c r="E38" s="1">
        <v>56300</v>
      </c>
      <c r="F38" s="1">
        <v>576300</v>
      </c>
      <c r="G38">
        <v>300</v>
      </c>
      <c r="H38">
        <v>0</v>
      </c>
      <c r="I38">
        <v>0</v>
      </c>
      <c r="J38">
        <v>0</v>
      </c>
      <c r="K38" s="2">
        <v>5166200</v>
      </c>
      <c r="L38" s="1">
        <v>156400</v>
      </c>
      <c r="M38" s="1">
        <v>58500</v>
      </c>
      <c r="N38" s="1">
        <f>SUM(B38:M38)</f>
        <v>6172100</v>
      </c>
      <c r="O38" s="8">
        <f>B38/N38</f>
        <v>4.2287065990505666E-3</v>
      </c>
      <c r="P38" s="8">
        <f>C38/N38</f>
        <v>2.0900503880364866E-3</v>
      </c>
      <c r="Q38" s="8">
        <f>D38/N38</f>
        <v>1.9296511722104309E-2</v>
      </c>
      <c r="R38" s="7">
        <f>K38/N38</f>
        <v>0.83702467555613158</v>
      </c>
      <c r="S38" s="7">
        <f>SUM(B38:D38)/N38</f>
        <v>2.5615268709191362E-2</v>
      </c>
    </row>
    <row r="39" spans="1:19" x14ac:dyDescent="0.25">
      <c r="A39" t="s">
        <v>14</v>
      </c>
      <c r="B39" s="1">
        <v>2700</v>
      </c>
      <c r="C39">
        <v>900</v>
      </c>
      <c r="D39" s="1">
        <v>10600</v>
      </c>
      <c r="E39" s="1">
        <v>9600</v>
      </c>
      <c r="F39" s="1">
        <v>46800</v>
      </c>
      <c r="G39">
        <v>0</v>
      </c>
      <c r="H39">
        <v>0</v>
      </c>
      <c r="I39">
        <v>0</v>
      </c>
      <c r="J39">
        <v>0</v>
      </c>
      <c r="K39" s="2">
        <v>454300</v>
      </c>
      <c r="L39" s="1">
        <v>29800</v>
      </c>
      <c r="M39" s="1">
        <v>5100</v>
      </c>
      <c r="N39" s="1">
        <f>SUM(B39:M39)</f>
        <v>559800</v>
      </c>
      <c r="O39" s="8">
        <f>B39/N39</f>
        <v>4.8231511254019296E-3</v>
      </c>
      <c r="P39" s="8">
        <f>C39/N39</f>
        <v>1.6077170418006431E-3</v>
      </c>
      <c r="Q39" s="8">
        <f>D39/N39</f>
        <v>1.8935334047874241E-2</v>
      </c>
      <c r="R39" s="7">
        <f>K39/N39</f>
        <v>0.81153983565559129</v>
      </c>
      <c r="S39" s="7">
        <f>SUM(B39:D39)/N39</f>
        <v>2.5366202215076811E-2</v>
      </c>
    </row>
    <row r="40" spans="1:19" x14ac:dyDescent="0.25">
      <c r="A40" t="s">
        <v>55</v>
      </c>
      <c r="B40" s="1">
        <v>33200</v>
      </c>
      <c r="C40" s="1">
        <v>11000</v>
      </c>
      <c r="D40" s="1">
        <v>113300</v>
      </c>
      <c r="E40" s="1">
        <v>53100</v>
      </c>
      <c r="F40" s="1">
        <v>509000</v>
      </c>
      <c r="G40">
        <v>200</v>
      </c>
      <c r="H40">
        <v>100</v>
      </c>
      <c r="I40">
        <v>0</v>
      </c>
      <c r="J40">
        <v>0</v>
      </c>
      <c r="K40" s="2">
        <v>5620500</v>
      </c>
      <c r="L40" s="1">
        <v>160700</v>
      </c>
      <c r="M40" s="1">
        <v>37700</v>
      </c>
      <c r="N40" s="1">
        <f>SUM(B40:M40)</f>
        <v>6538800</v>
      </c>
      <c r="O40" s="8">
        <f>B40/N40</f>
        <v>5.0773842295222362E-3</v>
      </c>
      <c r="P40" s="8">
        <f>C40/N40</f>
        <v>1.6822658591790544E-3</v>
      </c>
      <c r="Q40" s="8">
        <f>D40/N40</f>
        <v>1.7327338349544259E-2</v>
      </c>
      <c r="R40" s="7">
        <f>K40/N40</f>
        <v>0.85956138741053401</v>
      </c>
      <c r="S40" s="7">
        <f>SUM(B40:D40)/N40</f>
        <v>2.4086988438245551E-2</v>
      </c>
    </row>
    <row r="41" spans="1:19" x14ac:dyDescent="0.25">
      <c r="A41" t="s">
        <v>28</v>
      </c>
      <c r="B41" s="1">
        <v>9000</v>
      </c>
      <c r="C41" s="1">
        <v>6100</v>
      </c>
      <c r="D41" s="1">
        <v>57200</v>
      </c>
      <c r="E41" s="1">
        <v>41700</v>
      </c>
      <c r="F41" s="1">
        <v>331300</v>
      </c>
      <c r="G41">
        <v>100</v>
      </c>
      <c r="H41">
        <v>0</v>
      </c>
      <c r="I41">
        <v>0</v>
      </c>
      <c r="J41">
        <v>0</v>
      </c>
      <c r="K41" s="2">
        <v>2545400</v>
      </c>
      <c r="L41" s="1">
        <v>105000</v>
      </c>
      <c r="M41" s="1">
        <v>57500</v>
      </c>
      <c r="N41" s="1">
        <f>SUM(B41:M41)</f>
        <v>3153300</v>
      </c>
      <c r="O41" s="8">
        <f>B41/N41</f>
        <v>2.8541527923128152E-3</v>
      </c>
      <c r="P41" s="8">
        <f>C41/N41</f>
        <v>1.9344813370120193E-3</v>
      </c>
      <c r="Q41" s="8">
        <f>D41/N41</f>
        <v>1.8139726635588115E-2</v>
      </c>
      <c r="R41" s="7">
        <f>K41/N41</f>
        <v>0.80721783528367108</v>
      </c>
      <c r="S41" s="7">
        <f>SUM(B41:D41)/N41</f>
        <v>2.2928360764912947E-2</v>
      </c>
    </row>
    <row r="42" spans="1:19" x14ac:dyDescent="0.25">
      <c r="A42" t="s">
        <v>53</v>
      </c>
      <c r="B42" s="1">
        <v>20900</v>
      </c>
      <c r="C42" s="1">
        <v>9000</v>
      </c>
      <c r="D42" s="1">
        <v>83100</v>
      </c>
      <c r="E42" s="1">
        <v>44600</v>
      </c>
      <c r="F42" s="1">
        <v>404600</v>
      </c>
      <c r="G42">
        <v>100</v>
      </c>
      <c r="H42">
        <v>100</v>
      </c>
      <c r="I42">
        <v>0</v>
      </c>
      <c r="J42">
        <v>0</v>
      </c>
      <c r="K42" s="2">
        <v>4325000</v>
      </c>
      <c r="L42" s="1">
        <v>110100</v>
      </c>
      <c r="M42" s="1">
        <v>44900</v>
      </c>
      <c r="N42" s="1">
        <f>SUM(B42:M42)</f>
        <v>5042400</v>
      </c>
      <c r="O42" s="8">
        <f>B42/N42</f>
        <v>4.1448516579406635E-3</v>
      </c>
      <c r="P42" s="8">
        <f>C42/N42</f>
        <v>1.7848643503093765E-3</v>
      </c>
      <c r="Q42" s="8">
        <f>D42/N42</f>
        <v>1.6480247501189909E-2</v>
      </c>
      <c r="R42" s="7">
        <f>K42/N42</f>
        <v>0.8577264794542282</v>
      </c>
      <c r="S42" s="7">
        <f>SUM(B42:D42)/N42</f>
        <v>2.240996350943995E-2</v>
      </c>
    </row>
    <row r="43" spans="1:19" x14ac:dyDescent="0.25">
      <c r="A43" t="s">
        <v>40</v>
      </c>
      <c r="B43" s="1">
        <v>6900</v>
      </c>
      <c r="C43" s="1">
        <v>3800</v>
      </c>
      <c r="D43" s="1">
        <v>32600</v>
      </c>
      <c r="E43" s="1">
        <v>28900</v>
      </c>
      <c r="F43" s="1">
        <v>197100</v>
      </c>
      <c r="G43">
        <v>100</v>
      </c>
      <c r="H43">
        <v>0</v>
      </c>
      <c r="I43">
        <v>0</v>
      </c>
      <c r="J43">
        <v>0</v>
      </c>
      <c r="K43" s="2">
        <v>1600400</v>
      </c>
      <c r="L43" s="1">
        <v>76100</v>
      </c>
      <c r="M43" s="1">
        <v>25300</v>
      </c>
      <c r="N43" s="1">
        <f>SUM(B43:M43)</f>
        <v>1971200</v>
      </c>
      <c r="O43" s="8">
        <f>B43/N43</f>
        <v>3.500405844155844E-3</v>
      </c>
      <c r="P43" s="8">
        <f>C43/N43</f>
        <v>1.9277597402597403E-3</v>
      </c>
      <c r="Q43" s="8">
        <f>D43/N43</f>
        <v>1.6538149350649352E-2</v>
      </c>
      <c r="R43" s="7">
        <f>K43/N43</f>
        <v>0.81189123376623373</v>
      </c>
      <c r="S43" s="7">
        <f>SUM(B43:D43)/N43</f>
        <v>2.1966314935064936E-2</v>
      </c>
    </row>
    <row r="44" spans="1:19" x14ac:dyDescent="0.25">
      <c r="A44" t="s">
        <v>30</v>
      </c>
      <c r="B44" s="1">
        <v>11600</v>
      </c>
      <c r="C44" s="1">
        <v>5600</v>
      </c>
      <c r="D44" s="1">
        <v>67100</v>
      </c>
      <c r="E44" s="1">
        <v>36900</v>
      </c>
      <c r="F44" s="1">
        <v>361200</v>
      </c>
      <c r="G44">
        <v>300</v>
      </c>
      <c r="H44">
        <v>0</v>
      </c>
      <c r="I44">
        <v>0</v>
      </c>
      <c r="J44">
        <v>0</v>
      </c>
      <c r="K44" s="2">
        <v>3415000</v>
      </c>
      <c r="L44" s="1">
        <v>117600</v>
      </c>
      <c r="M44" s="1">
        <v>24400</v>
      </c>
      <c r="N44" s="1">
        <f>SUM(B44:M44)</f>
        <v>4039700</v>
      </c>
      <c r="O44" s="8">
        <f>B44/N44</f>
        <v>2.871500358937545E-3</v>
      </c>
      <c r="P44" s="8">
        <f>C44/N44</f>
        <v>1.3862415525905389E-3</v>
      </c>
      <c r="Q44" s="8">
        <f>D44/N44</f>
        <v>1.661014431764735E-2</v>
      </c>
      <c r="R44" s="7">
        <f>K44/N44</f>
        <v>0.84535980394583754</v>
      </c>
      <c r="S44" s="7">
        <f>SUM(B44:D44)/N44</f>
        <v>2.0867886229175434E-2</v>
      </c>
    </row>
    <row r="45" spans="1:19" x14ac:dyDescent="0.25">
      <c r="A45" t="s">
        <v>61</v>
      </c>
      <c r="B45" s="1">
        <v>2800</v>
      </c>
      <c r="C45" s="1">
        <v>1800</v>
      </c>
      <c r="D45" s="1">
        <v>22400</v>
      </c>
      <c r="E45" s="1">
        <v>17300</v>
      </c>
      <c r="F45" s="1">
        <v>123400</v>
      </c>
      <c r="G45">
        <v>100</v>
      </c>
      <c r="H45">
        <v>0</v>
      </c>
      <c r="I45">
        <v>0</v>
      </c>
      <c r="J45">
        <v>0</v>
      </c>
      <c r="K45" s="2">
        <v>1281500</v>
      </c>
      <c r="L45" s="1">
        <v>46400</v>
      </c>
      <c r="M45" s="1">
        <v>15200</v>
      </c>
      <c r="N45" s="1">
        <f>SUM(B45:M45)</f>
        <v>1510900</v>
      </c>
      <c r="O45" s="8">
        <f>B45/N45</f>
        <v>1.8532000794228606E-3</v>
      </c>
      <c r="P45" s="8">
        <f>C45/N45</f>
        <v>1.1913429082004105E-3</v>
      </c>
      <c r="Q45" s="8">
        <f>D45/N45</f>
        <v>1.4825600635382885E-2</v>
      </c>
      <c r="R45" s="7">
        <f>K45/N45</f>
        <v>0.84816996492156993</v>
      </c>
      <c r="S45" s="7">
        <f>SUM(B45:D45)/N45</f>
        <v>1.7870143623006155E-2</v>
      </c>
    </row>
    <row r="46" spans="1:19" x14ac:dyDescent="0.25">
      <c r="A46" t="s">
        <v>16</v>
      </c>
      <c r="B46" s="1">
        <v>7100</v>
      </c>
      <c r="C46" s="1">
        <v>3200</v>
      </c>
      <c r="D46" s="1">
        <v>37000</v>
      </c>
      <c r="E46" s="1">
        <v>37000</v>
      </c>
      <c r="F46" s="1">
        <v>276700</v>
      </c>
      <c r="G46">
        <v>200</v>
      </c>
      <c r="H46">
        <v>0</v>
      </c>
      <c r="I46">
        <v>0</v>
      </c>
      <c r="J46">
        <v>0</v>
      </c>
      <c r="K46" s="2">
        <v>2246100</v>
      </c>
      <c r="L46" s="1">
        <v>90700</v>
      </c>
      <c r="M46" s="1">
        <v>10300</v>
      </c>
      <c r="N46" s="1">
        <f>SUM(B46:M46)</f>
        <v>2708300</v>
      </c>
      <c r="O46" s="8">
        <f>B46/N46</f>
        <v>2.6215707270243328E-3</v>
      </c>
      <c r="P46" s="8">
        <f>C46/N46</f>
        <v>1.1815530037292768E-3</v>
      </c>
      <c r="Q46" s="8">
        <f>D46/N46</f>
        <v>1.3661706605619762E-2</v>
      </c>
      <c r="R46" s="7">
        <f>K46/N46</f>
        <v>0.82933943802385257</v>
      </c>
      <c r="S46" s="7">
        <f>SUM(B46:D46)/N46</f>
        <v>1.7464830336373371E-2</v>
      </c>
    </row>
    <row r="47" spans="1:19" x14ac:dyDescent="0.25">
      <c r="A47" t="s">
        <v>13</v>
      </c>
      <c r="B47" s="1">
        <v>13000</v>
      </c>
      <c r="C47" s="1">
        <v>5800</v>
      </c>
      <c r="D47" s="1">
        <v>63300</v>
      </c>
      <c r="E47" s="1">
        <v>54200</v>
      </c>
      <c r="F47" s="1">
        <v>441200</v>
      </c>
      <c r="G47">
        <v>100</v>
      </c>
      <c r="H47">
        <v>100</v>
      </c>
      <c r="I47">
        <v>0</v>
      </c>
      <c r="J47">
        <v>0</v>
      </c>
      <c r="K47" s="2">
        <v>4102200</v>
      </c>
      <c r="L47" s="1">
        <v>127000</v>
      </c>
      <c r="M47" s="1">
        <v>29000</v>
      </c>
      <c r="N47" s="1">
        <f>SUM(B47:M47)</f>
        <v>4835900</v>
      </c>
      <c r="O47" s="8">
        <f>B47/N47</f>
        <v>2.6882276308443104E-3</v>
      </c>
      <c r="P47" s="8">
        <f>C47/N47</f>
        <v>1.1993630968382307E-3</v>
      </c>
      <c r="Q47" s="8">
        <f>D47/N47</f>
        <v>1.3089600694803449E-2</v>
      </c>
      <c r="R47" s="7">
        <f>K47/N47</f>
        <v>0.84828056824996378</v>
      </c>
      <c r="S47" s="7">
        <f>SUM(B47:D47)/N47</f>
        <v>1.697719142248599E-2</v>
      </c>
    </row>
    <row r="48" spans="1:19" x14ac:dyDescent="0.25">
      <c r="A48" t="s">
        <v>54</v>
      </c>
      <c r="B48" s="1">
        <v>1700</v>
      </c>
      <c r="C48" s="1">
        <v>1300</v>
      </c>
      <c r="D48" s="1">
        <v>11900</v>
      </c>
      <c r="E48" s="1">
        <v>21500</v>
      </c>
      <c r="F48" s="1">
        <v>98800</v>
      </c>
      <c r="G48">
        <v>0</v>
      </c>
      <c r="H48">
        <v>0</v>
      </c>
      <c r="I48">
        <v>0</v>
      </c>
      <c r="J48">
        <v>0</v>
      </c>
      <c r="K48" s="2">
        <v>718300</v>
      </c>
      <c r="L48" s="1">
        <v>51200</v>
      </c>
      <c r="M48" s="1">
        <v>13300</v>
      </c>
      <c r="N48" s="1">
        <f>SUM(B48:M48)</f>
        <v>918000</v>
      </c>
      <c r="O48" s="8">
        <f>B48/N48</f>
        <v>1.8518518518518519E-3</v>
      </c>
      <c r="P48" s="8">
        <f>C48/N48</f>
        <v>1.4161220043572985E-3</v>
      </c>
      <c r="Q48" s="8">
        <f>D48/N48</f>
        <v>1.2962962962962963E-2</v>
      </c>
      <c r="R48" s="7">
        <f>K48/N48</f>
        <v>0.78246187363834419</v>
      </c>
      <c r="S48" s="7">
        <f>SUM(B48:D48)/N48</f>
        <v>1.6230936819172113E-2</v>
      </c>
    </row>
    <row r="49" spans="1:19" x14ac:dyDescent="0.25">
      <c r="A49" t="s">
        <v>63</v>
      </c>
      <c r="B49" s="1">
        <v>1100</v>
      </c>
      <c r="C49">
        <v>800</v>
      </c>
      <c r="D49" s="1">
        <v>8400</v>
      </c>
      <c r="E49" s="1">
        <v>21200</v>
      </c>
      <c r="F49" s="1">
        <v>57700</v>
      </c>
      <c r="G49">
        <v>0</v>
      </c>
      <c r="H49">
        <v>0</v>
      </c>
      <c r="I49">
        <v>0</v>
      </c>
      <c r="J49">
        <v>0</v>
      </c>
      <c r="K49" s="2">
        <v>489100</v>
      </c>
      <c r="L49" s="1">
        <v>60900</v>
      </c>
      <c r="M49" s="1">
        <v>13700</v>
      </c>
      <c r="N49" s="1">
        <f>SUM(B49:M49)</f>
        <v>652900</v>
      </c>
      <c r="O49" s="8">
        <f>B49/N49</f>
        <v>1.6847909327615256E-3</v>
      </c>
      <c r="P49" s="8">
        <f>C49/N49</f>
        <v>1.2253024965538366E-3</v>
      </c>
      <c r="Q49" s="8">
        <f>D49/N49</f>
        <v>1.2865676213815286E-2</v>
      </c>
      <c r="R49" s="7">
        <f>K49/N49</f>
        <v>0.74911931383060193</v>
      </c>
      <c r="S49" s="7">
        <f>SUM(B49:D49)/N49</f>
        <v>1.5775769643130648E-2</v>
      </c>
    </row>
    <row r="50" spans="1:19" x14ac:dyDescent="0.25">
      <c r="A50" t="s">
        <v>31</v>
      </c>
      <c r="B50" s="1">
        <v>8200</v>
      </c>
      <c r="C50" s="1">
        <v>4000</v>
      </c>
      <c r="D50" s="1">
        <v>40200</v>
      </c>
      <c r="E50" s="1">
        <v>64200</v>
      </c>
      <c r="F50" s="1">
        <v>380100</v>
      </c>
      <c r="G50">
        <v>100</v>
      </c>
      <c r="H50">
        <v>0</v>
      </c>
      <c r="I50">
        <v>0</v>
      </c>
      <c r="J50">
        <v>0</v>
      </c>
      <c r="K50" s="2">
        <v>3142800</v>
      </c>
      <c r="L50" s="1">
        <v>115500</v>
      </c>
      <c r="M50" s="1">
        <v>19100</v>
      </c>
      <c r="N50" s="1">
        <f>SUM(B50:M50)</f>
        <v>3774200</v>
      </c>
      <c r="O50" s="8">
        <f>B50/N50</f>
        <v>2.1726458587250277E-3</v>
      </c>
      <c r="P50" s="8">
        <f>C50/N50</f>
        <v>1.0598272481585501E-3</v>
      </c>
      <c r="Q50" s="8">
        <f>D50/N50</f>
        <v>1.0651263843993428E-2</v>
      </c>
      <c r="R50" s="7">
        <f>K50/N50</f>
        <v>0.83270626887817289</v>
      </c>
      <c r="S50" s="7">
        <f>SUM(B50:D50)/N50</f>
        <v>1.3883736950877006E-2</v>
      </c>
    </row>
    <row r="51" spans="1:19" x14ac:dyDescent="0.25">
      <c r="A51" t="s">
        <v>47</v>
      </c>
      <c r="B51" s="1">
        <v>1000</v>
      </c>
      <c r="C51">
        <v>800</v>
      </c>
      <c r="D51" s="1">
        <v>8200</v>
      </c>
      <c r="E51" s="1">
        <v>20400</v>
      </c>
      <c r="F51" s="1">
        <v>89900</v>
      </c>
      <c r="G51">
        <v>0</v>
      </c>
      <c r="H51">
        <v>0</v>
      </c>
      <c r="I51">
        <v>0</v>
      </c>
      <c r="J51">
        <v>0</v>
      </c>
      <c r="K51" s="2">
        <v>625300</v>
      </c>
      <c r="L51" s="1">
        <v>44600</v>
      </c>
      <c r="M51" s="1">
        <v>7200</v>
      </c>
      <c r="N51" s="1">
        <f>SUM(B51:M51)</f>
        <v>797400</v>
      </c>
      <c r="O51" s="8">
        <f>B51/N51</f>
        <v>1.2540757461750689E-3</v>
      </c>
      <c r="P51" s="8">
        <f>C51/N51</f>
        <v>1.0032605969400551E-3</v>
      </c>
      <c r="Q51" s="8">
        <f>D51/N51</f>
        <v>1.0283421118635566E-2</v>
      </c>
      <c r="R51" s="7">
        <f>K51/N51</f>
        <v>0.78417356408327066</v>
      </c>
      <c r="S51" s="7">
        <f>SUM(B51:D51)/N51</f>
        <v>1.2540757461750689E-2</v>
      </c>
    </row>
    <row r="52" spans="1:19" x14ac:dyDescent="0.25">
      <c r="A52" t="s">
        <v>37</v>
      </c>
      <c r="B52" s="1">
        <v>3600</v>
      </c>
      <c r="C52" s="1">
        <v>2000</v>
      </c>
      <c r="D52" s="1">
        <v>28200</v>
      </c>
      <c r="E52" s="1">
        <v>34900</v>
      </c>
      <c r="F52" s="1">
        <v>295200</v>
      </c>
      <c r="G52">
        <v>100</v>
      </c>
      <c r="H52">
        <v>0</v>
      </c>
      <c r="I52">
        <v>0</v>
      </c>
      <c r="J52">
        <v>0</v>
      </c>
      <c r="K52" s="2">
        <v>2275600</v>
      </c>
      <c r="L52" s="1">
        <v>75200</v>
      </c>
      <c r="M52" s="1">
        <v>8500</v>
      </c>
      <c r="N52" s="1">
        <f>SUM(B52:M52)</f>
        <v>2723300</v>
      </c>
      <c r="O52" s="8">
        <f>B52/N52</f>
        <v>1.321925604964565E-3</v>
      </c>
      <c r="P52" s="8">
        <f>C52/N52</f>
        <v>7.3440311386920281E-4</v>
      </c>
      <c r="Q52" s="8">
        <f>D52/N52</f>
        <v>1.035508390555576E-2</v>
      </c>
      <c r="R52" s="7">
        <f>K52/N52</f>
        <v>0.83560386296037892</v>
      </c>
      <c r="S52" s="7">
        <f>SUM(B52:D52)/N52</f>
        <v>1.2411412624389528E-2</v>
      </c>
    </row>
    <row r="53" spans="1:19" x14ac:dyDescent="0.2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</sheetData>
  <autoFilter ref="A1:S52" xr:uid="{8E5EDD1E-BA12-4186-A617-E149720C1099}"/>
  <sortState ref="A2:S52">
    <sortCondition descending="1" ref="S2:S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533E2-8932-4DC8-8B68-700A0F83450F}">
  <dimension ref="A1:C15"/>
  <sheetViews>
    <sheetView workbookViewId="0">
      <selection activeCell="C21" sqref="C21"/>
    </sheetView>
  </sheetViews>
  <sheetFormatPr defaultRowHeight="15" x14ac:dyDescent="0.25"/>
  <cols>
    <col min="1" max="1" width="31.5703125" bestFit="1" customWidth="1"/>
    <col min="2" max="2" width="15.28515625" style="9" bestFit="1" customWidth="1"/>
    <col min="3" max="3" width="10.85546875" bestFit="1" customWidth="1"/>
    <col min="4" max="6" width="8" bestFit="1" customWidth="1"/>
    <col min="7" max="7" width="9" bestFit="1" customWidth="1"/>
    <col min="8" max="8" width="6" bestFit="1" customWidth="1"/>
    <col min="9" max="9" width="5" bestFit="1" customWidth="1"/>
    <col min="10" max="10" width="6" bestFit="1" customWidth="1"/>
    <col min="11" max="11" width="2" bestFit="1" customWidth="1"/>
    <col min="12" max="12" width="10" bestFit="1" customWidth="1"/>
    <col min="13" max="14" width="8" bestFit="1" customWidth="1"/>
    <col min="15" max="15" width="10" bestFit="1" customWidth="1"/>
  </cols>
  <sheetData>
    <row r="1" spans="1:3" ht="18.75" x14ac:dyDescent="0.3">
      <c r="A1" s="10" t="s">
        <v>72</v>
      </c>
      <c r="B1" s="11" t="s">
        <v>69</v>
      </c>
      <c r="C1" s="5" t="s">
        <v>71</v>
      </c>
    </row>
    <row r="2" spans="1:3" ht="15.75" x14ac:dyDescent="0.25">
      <c r="A2" s="4" t="s">
        <v>10</v>
      </c>
      <c r="B2" s="2">
        <v>242870900</v>
      </c>
      <c r="C2" s="7">
        <f>B2/SUM($B$2:$B$13)</f>
        <v>0.84595562815986958</v>
      </c>
    </row>
    <row r="3" spans="1:3" ht="15.75" x14ac:dyDescent="0.25">
      <c r="A3" s="3" t="s">
        <v>5</v>
      </c>
      <c r="B3" s="2">
        <v>20240600</v>
      </c>
      <c r="C3" s="7">
        <f>B3/SUM($B$2:$B$13)</f>
        <v>7.0501033624582682E-2</v>
      </c>
    </row>
    <row r="4" spans="1:3" ht="15.75" x14ac:dyDescent="0.25">
      <c r="A4" s="3" t="s">
        <v>3</v>
      </c>
      <c r="B4" s="2">
        <v>7392300</v>
      </c>
      <c r="C4" s="7">
        <f>B4/SUM($B$2:$B$13)</f>
        <v>2.5748485265407278E-2</v>
      </c>
    </row>
    <row r="5" spans="1:3" ht="15.75" x14ac:dyDescent="0.25">
      <c r="A5" s="3" t="s">
        <v>11</v>
      </c>
      <c r="B5" s="2">
        <v>7184300</v>
      </c>
      <c r="C5" s="7">
        <f>B5/SUM($B$2:$B$13)</f>
        <v>2.5023990191451306E-2</v>
      </c>
    </row>
    <row r="6" spans="1:3" ht="15.75" x14ac:dyDescent="0.25">
      <c r="A6" s="3" t="s">
        <v>1</v>
      </c>
      <c r="B6" s="2">
        <v>3555900</v>
      </c>
      <c r="C6" s="7">
        <f>B6/SUM($B$2:$B$13)</f>
        <v>1.2385730930192461E-2</v>
      </c>
    </row>
    <row r="7" spans="1:3" ht="15.75" x14ac:dyDescent="0.25">
      <c r="A7" s="3" t="s">
        <v>4</v>
      </c>
      <c r="B7" s="2">
        <v>2803600</v>
      </c>
      <c r="C7" s="7">
        <f>B7/SUM($B$2:$B$13)</f>
        <v>9.7653576410719044E-3</v>
      </c>
    </row>
    <row r="8" spans="1:3" ht="15.75" x14ac:dyDescent="0.25">
      <c r="A8" s="3" t="s">
        <v>12</v>
      </c>
      <c r="B8" s="2">
        <v>1694100</v>
      </c>
      <c r="C8" s="7">
        <f>B8/SUM($B$2:$B$13)</f>
        <v>5.9008033884077309E-3</v>
      </c>
    </row>
    <row r="9" spans="1:3" ht="15.75" x14ac:dyDescent="0.25">
      <c r="A9" s="3" t="s">
        <v>2</v>
      </c>
      <c r="B9" s="2">
        <v>1307200</v>
      </c>
      <c r="C9" s="7">
        <f>B9/SUM($B$2:$B$13)</f>
        <v>4.5531728878617471E-3</v>
      </c>
    </row>
    <row r="10" spans="1:3" ht="15.75" x14ac:dyDescent="0.25">
      <c r="A10" s="3" t="s">
        <v>6</v>
      </c>
      <c r="B10" s="2">
        <v>24700</v>
      </c>
      <c r="C10" s="7">
        <f>B10/SUM($B$2:$B$13)</f>
        <v>8.6033790032271381E-5</v>
      </c>
    </row>
    <row r="11" spans="1:3" ht="15.75" x14ac:dyDescent="0.25">
      <c r="A11" s="3" t="s">
        <v>8</v>
      </c>
      <c r="B11" s="2">
        <v>16900</v>
      </c>
      <c r="C11" s="7">
        <f>B11/SUM($B$2:$B$13)</f>
        <v>5.8865224758922519E-5</v>
      </c>
    </row>
    <row r="12" spans="1:3" ht="15.75" x14ac:dyDescent="0.25">
      <c r="A12" s="3" t="s">
        <v>7</v>
      </c>
      <c r="B12" s="2">
        <v>6000</v>
      </c>
      <c r="C12" s="7">
        <f>B12/SUM($B$2:$B$13)</f>
        <v>2.0898896364114503E-5</v>
      </c>
    </row>
    <row r="13" spans="1:3" ht="15.75" x14ac:dyDescent="0.25">
      <c r="A13" s="3" t="s">
        <v>9</v>
      </c>
      <c r="B13" s="2">
        <v>0</v>
      </c>
      <c r="C13" s="7">
        <f>B13/SUM($B$2:$B$13)</f>
        <v>0</v>
      </c>
    </row>
    <row r="14" spans="1:3" x14ac:dyDescent="0.25">
      <c r="B14" s="2"/>
    </row>
    <row r="15" spans="1:3" x14ac:dyDescent="0.25">
      <c r="B15" s="2"/>
    </row>
  </sheetData>
  <sortState ref="A2:C13">
    <sortCondition descending="1" ref="C2:C1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Vehicle Data</vt:lpstr>
      <vt:lpstr>Fuels Totals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 Commander</dc:creator>
  <cp:lastModifiedBy>pius</cp:lastModifiedBy>
  <dcterms:created xsi:type="dcterms:W3CDTF">2026-09-09T15:58:43Z</dcterms:created>
  <dcterms:modified xsi:type="dcterms:W3CDTF">2026-09-11T09:03:34Z</dcterms:modified>
</cp:coreProperties>
</file>